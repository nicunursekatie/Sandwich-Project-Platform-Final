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<sst xmlns="http://schemas.openxmlformats.org/spreadsheetml/2006/main" count="726" uniqueCount="483">
  <si>
    <t>Date</t>
  </si>
  <si>
    <t>Event Start time Optional</t>
  </si>
  <si>
    <t>Event end time Optional</t>
  </si>
  <si>
    <t>Pick up time</t>
  </si>
  <si>
    <t>ALL DETAILS</t>
  </si>
  <si>
    <t>Social Post</t>
  </si>
  <si>
    <t>Call Made</t>
  </si>
  <si>
    <t>Group Name</t>
  </si>
  <si>
    <t>Estimate/Final # sandwiches made</t>
  </si>
  <si>
    <t>Day of Week</t>
  </si>
  <si>
    <t>Sent toolkit</t>
  </si>
  <si>
    <t>Email Address</t>
  </si>
  <si>
    <t>Contact Name</t>
  </si>
  <si>
    <t>Contact Cell Number</t>
  </si>
  <si>
    <t>TSP Contact</t>
  </si>
  <si>
    <t>Address</t>
  </si>
  <si>
    <t>Notes</t>
  </si>
  <si>
    <t>delivering to Laura</t>
  </si>
  <si>
    <t>Emory Rollins School of Public Health</t>
  </si>
  <si>
    <t>Tuesday</t>
  </si>
  <si>
    <t>yes</t>
  </si>
  <si>
    <t>suhas.das@emory.edu</t>
  </si>
  <si>
    <t>Suhas "Sue" Das</t>
  </si>
  <si>
    <t>734-838-7245</t>
  </si>
  <si>
    <t>Jen</t>
  </si>
  <si>
    <t>4 PM-5PM Debbie Cicero pu; CANCELLED</t>
  </si>
  <si>
    <t>Intuitive Surgical</t>
  </si>
  <si>
    <r>
      <rPr>
        <rFont val="Arial"/>
        <color theme="1"/>
        <sz val="12.0"/>
      </rPr>
      <t>amanda.rizzo@intusurg.com</t>
    </r>
  </si>
  <si>
    <t>Amanda Rizzo</t>
  </si>
  <si>
    <t>770-906-4344</t>
  </si>
  <si>
    <t>Steph</t>
  </si>
  <si>
    <t>5655 Spalding Dr, Peachtree Corners, GA 30092</t>
  </si>
  <si>
    <t>12 PM pick up Jonathan Hobson; deliver to Marcy/Jordan - CANCELLED</t>
  </si>
  <si>
    <t>AIS 4th grade class</t>
  </si>
  <si>
    <t xml:space="preserve"> jaymc3@gmail.com</t>
  </si>
  <si>
    <t>Joanne Credi Fredo</t>
  </si>
  <si>
    <t>(404) 625-0418</t>
  </si>
  <si>
    <t>3631 Mayfair Rd Atlanta GA 30342</t>
  </si>
  <si>
    <t xml:space="preserve">Renee V pick up and drop at Marcy's </t>
  </si>
  <si>
    <t>NCJW</t>
  </si>
  <si>
    <t>Renne V</t>
  </si>
  <si>
    <t>770-265-3563</t>
  </si>
  <si>
    <t>Marcy</t>
  </si>
  <si>
    <t>Maxine wants sandwiches</t>
  </si>
  <si>
    <t>Steph to get details from Marcy</t>
  </si>
  <si>
    <t>X</t>
  </si>
  <si>
    <t>GS Troop #12593</t>
  </si>
  <si>
    <t>Saturday</t>
  </si>
  <si>
    <t>Vivian</t>
  </si>
  <si>
    <t>9 - 12 PM Steph, Kim Ross &amp; Kathy Ledford, Della will be there at 7am to volunteer for the school but then needs to leave, Steph goes, Gary drive van</t>
  </si>
  <si>
    <t>Westminster Day of Service</t>
  </si>
  <si>
    <t>jessicadent@westminster.net / acbivek@gmail.com</t>
  </si>
  <si>
    <t>Jessica Dent / Anjali Bivek</t>
  </si>
  <si>
    <t>(470) 216-9255 / 706-495-2180</t>
  </si>
  <si>
    <t>SM</t>
  </si>
  <si>
    <t>1424 W Paces Ferry Rd NW, Atlanta, GA 30327</t>
  </si>
  <si>
    <t>link to notes</t>
  </si>
  <si>
    <t>For pick up on Monday, April 14th, please see attached map. Upon arrival to our campus, please stop at the guard gate and tell them you are here with The Sandwich Project for a pickup at 2:30pm from Sheri Mattison, Premier Anesthesia. Premier Anesthesia is located in the Rome Building. Feel free to share my phone number with the Driver as well: 678-431-5196. Steph to pick up and take to StVDP</t>
  </si>
  <si>
    <t>Premier Anesthesia</t>
  </si>
  <si>
    <t>Monday</t>
  </si>
  <si>
    <t>sheri.mattison@premieranesthesia.com</t>
  </si>
  <si>
    <t>Sheri Mattison</t>
  </si>
  <si>
    <t>678.218.8442</t>
  </si>
  <si>
    <t>Stehanie M</t>
  </si>
  <si>
    <t xml:space="preserve">2575 Northwinds Parkway. Map in the email to Jordan </t>
  </si>
  <si>
    <t>11 AM - 2:30 pickup @ 3 PM - Suzanne O'Brien takes 350 to Nancy (Jordan asks Nancy); Karen + Steph attending</t>
  </si>
  <si>
    <t>Healthcare IT Leaders</t>
  </si>
  <si>
    <t>sofia.arguello@healthcareitleaders.com</t>
  </si>
  <si>
    <t>Sofia Arugello</t>
  </si>
  <si>
    <t>(770) 654-1078</t>
  </si>
  <si>
    <t>925 north point parkway suite 425 Alpharetta 30005</t>
  </si>
  <si>
    <t>10 am - 12:00 pm - Lisa can attend; J going to see if Lisa wants Kim's help</t>
  </si>
  <si>
    <t>Walker &amp; Dunlop</t>
  </si>
  <si>
    <t>aracine@walkerdunlop.com</t>
  </si>
  <si>
    <t>Astrid Racine</t>
  </si>
  <si>
    <t>(404)376-3661</t>
  </si>
  <si>
    <t>Lisa</t>
  </si>
  <si>
    <t>3348 Peachtree Road, Suite 900 Atlanta, GA 30326</t>
  </si>
  <si>
    <t>Event not happening</t>
  </si>
  <si>
    <t>Home Depot</t>
  </si>
  <si>
    <t>Thursday</t>
  </si>
  <si>
    <t>Yes</t>
  </si>
  <si>
    <t>thuy_hang_ho@homedepot.com</t>
  </si>
  <si>
    <t>Thuy Ho</t>
  </si>
  <si>
    <t>(404) 514-9234</t>
  </si>
  <si>
    <t>Stephanie M</t>
  </si>
  <si>
    <t>between 5 and 8 pm; Debbie Cicero pu deliver to Marcy</t>
  </si>
  <si>
    <t>asked</t>
  </si>
  <si>
    <t>Girls scout 5th grade</t>
  </si>
  <si>
    <t xml:space="preserve">Friday </t>
  </si>
  <si>
    <t>blairhuck@gmail.com</t>
  </si>
  <si>
    <t>Blair Huckeba</t>
  </si>
  <si>
    <t>404.697.4559</t>
  </si>
  <si>
    <t>Richwood drive brookhaven neighborhood. Confirming meeting location and will get back with us. Jordan pu</t>
  </si>
  <si>
    <t>https://docs.google.com/document/d/1ayYwBM8xCklV7lgBJhqNTmQVGtflRtWNibXcZ096eMI/edit?tab=t.0</t>
  </si>
  <si>
    <t>waiting for details Pick up 5 pm.</t>
  </si>
  <si>
    <t>National charity league Alpharetta Roswell</t>
  </si>
  <si>
    <t>kjdaunais@gmail.com</t>
  </si>
  <si>
    <t>Kathy Daunais</t>
  </si>
  <si>
    <t>(347) 840-0412</t>
  </si>
  <si>
    <t>Steph L</t>
  </si>
  <si>
    <t>4440 Wembly Place
Cumming, GA 30041</t>
  </si>
  <si>
    <t>2 pm pick up - Elizabeth Gordon to Laura</t>
  </si>
  <si>
    <t>Bencher Crew 77</t>
  </si>
  <si>
    <t>Ambs0976@gmail.com</t>
  </si>
  <si>
    <t>Amy Schmidt</t>
  </si>
  <si>
    <t>(404) 395-6339</t>
  </si>
  <si>
    <t>1722 Oak Grove Rd Decatur GA</t>
  </si>
  <si>
    <t>6 pm pick up - laura's driver</t>
  </si>
  <si>
    <t>AMIS Atlanta</t>
  </si>
  <si>
    <t>Sunday</t>
  </si>
  <si>
    <t>camille_kesler@msn.com</t>
  </si>
  <si>
    <t>Jody Ray</t>
  </si>
  <si>
    <t>678-428-5668</t>
  </si>
  <si>
    <t>1980 Rosecliff Dr. NE Atlanta, GA 30329</t>
  </si>
  <si>
    <t>delivering to Judy - then to Marcy</t>
  </si>
  <si>
    <t>KSU</t>
  </si>
  <si>
    <t>rsaemail18@gmail.com</t>
  </si>
  <si>
    <t>Rachel Abrams</t>
  </si>
  <si>
    <t xml:space="preserve">Jen  </t>
  </si>
  <si>
    <t>delivering to CAC on Tuesday</t>
  </si>
  <si>
    <t>Judy Toensmeier's group</t>
  </si>
  <si>
    <t>Judy</t>
  </si>
  <si>
    <t>404-683-5823</t>
  </si>
  <si>
    <t xml:space="preserve">Kayla Reed pick up bring to Marcy's </t>
  </si>
  <si>
    <t>Moishe House</t>
  </si>
  <si>
    <t>ekrakovski2@gmail.com</t>
  </si>
  <si>
    <t>Elizabeth Krakovski</t>
  </si>
  <si>
    <t>404-426-3496</t>
  </si>
  <si>
    <t>pickup @ 4:15, Carrey will p/u</t>
  </si>
  <si>
    <t>pics not ok'd</t>
  </si>
  <si>
    <t>Veritas Classical Schools Beta Club</t>
  </si>
  <si>
    <t>desiree.vorel@gmail.com</t>
  </si>
  <si>
    <t>Desiree Vorel</t>
  </si>
  <si>
    <t>727-560-7363</t>
  </si>
  <si>
    <t>Tapestry Community Church (800 Hembree Rd Roswell, GA 30076)</t>
  </si>
  <si>
    <t>event 1-3 PM; Kathy L to speak; Stephanie M TBD. Steph picks up and Deliver to Marcy</t>
  </si>
  <si>
    <t>Comcast</t>
  </si>
  <si>
    <t>katie_fernandez@comcast.com</t>
  </si>
  <si>
    <t>Katie Fernandez</t>
  </si>
  <si>
    <t>(943) 253-9339‬</t>
  </si>
  <si>
    <t>Jen Stephanie and Marcy</t>
  </si>
  <si>
    <t xml:space="preserve">Claire Wise pick up at 5 pm delivers to Nancy </t>
  </si>
  <si>
    <t>St Francis Beta Club</t>
  </si>
  <si>
    <t>lgrier@sfschools.net</t>
  </si>
  <si>
    <t>Lauren Grier</t>
  </si>
  <si>
    <t xml:space="preserve">770-378-2237 </t>
  </si>
  <si>
    <t>13440 Cogburn Road, Alpharetta 30004</t>
  </si>
  <si>
    <t>Pick up noon event from 9:30-11:30 AM</t>
  </si>
  <si>
    <t>Apollo MD</t>
  </si>
  <si>
    <t>Wednesday</t>
  </si>
  <si>
    <t>kjjohnson@apollomd.com</t>
  </si>
  <si>
    <t>Kimberly Johnson</t>
  </si>
  <si>
    <t>770-241-5239</t>
  </si>
  <si>
    <t>5665 New Northside Drive, Atlanta, 30328</t>
  </si>
  <si>
    <t xml:space="preserve">Jordan </t>
  </si>
  <si>
    <t>IHM</t>
  </si>
  <si>
    <t>Georgia Tech College of Computing</t>
  </si>
  <si>
    <t>lcherry@cc.gatech.edu, mechelle.kitchings@cc.gatech.edu</t>
  </si>
  <si>
    <t>LaDonna Cherry &amp; Mechelle Kitchings</t>
  </si>
  <si>
    <t>404-307-2913</t>
  </si>
  <si>
    <t xml:space="preserve">Stephanie M </t>
  </si>
  <si>
    <t xml:space="preserve">800 atlantic drive atlanta ga 30332
Visitor parking - who is going to come visitor lot path way over. Visitor  Lot #4 10 th st state and 1st corner intersection. </t>
  </si>
  <si>
    <t>https://docs.google.com/document/d/1XrVK1wd5ECdOei6Nlw1TnUNTnw5VEjbWA_AzyGASp84/edit?tab=t.0+</t>
  </si>
  <si>
    <t xml:space="preserve">2 pm pick up Parking - call and meet me at the loading dock behind the building and meet them down there on a cart. 1st floor. Chris Frye picks up and delivers to Marcy </t>
  </si>
  <si>
    <t>Compass</t>
  </si>
  <si>
    <t>lindsey.mcneil@compass-usa.com</t>
  </si>
  <si>
    <t>Lindsey Mcneil</t>
  </si>
  <si>
    <t>400 north ridge rd suite 600</t>
  </si>
  <si>
    <t>https://docs.google.com/document/d/16PyNviE79vdo1NzAhemadfFKEhog2epDw6sSuWyOgag/edit?tab=t.0</t>
  </si>
  <si>
    <t>Jen to go - 2 PM - 4 PM need van Adam to drive van, Steph checking on Gateway</t>
  </si>
  <si>
    <t>GSONA</t>
  </si>
  <si>
    <t>jgpatel06@gmail.com</t>
  </si>
  <si>
    <t>Jayna Patel</t>
  </si>
  <si>
    <t>404-617-5713</t>
  </si>
  <si>
    <t>3499 Robinson Rd, Marietta, GA 30068</t>
  </si>
  <si>
    <t xml:space="preserve">need pick up between 11 - 3:30 PM, Chris Frye picks up around 1, delivers to Nancy </t>
  </si>
  <si>
    <t xml:space="preserve">Mill Springs Academy </t>
  </si>
  <si>
    <t xml:space="preserve">Tuesday </t>
  </si>
  <si>
    <t>joray@millsprings.org</t>
  </si>
  <si>
    <t>(678) 893-7037</t>
  </si>
  <si>
    <t>13660 New Providence, Alpharetta GA</t>
  </si>
  <si>
    <t>2:45-4, adriana the intern doing it Steph pick up</t>
  </si>
  <si>
    <t>Weber</t>
  </si>
  <si>
    <t>drop off</t>
  </si>
  <si>
    <t>CDC dropping off at Jordans time TBD</t>
  </si>
  <si>
    <t>CDC</t>
  </si>
  <si>
    <t>in Jordan's #</t>
  </si>
  <si>
    <t>samsileno@gmail.com</t>
  </si>
  <si>
    <t>Samantha McKeithan</t>
  </si>
  <si>
    <t>941-276-5211</t>
  </si>
  <si>
    <t>dropping off at Jordan's</t>
  </si>
  <si>
    <t>pick up 3 pm. 1075 peachtree st northeast
Pick up drive in loading dock on Juniper and corner of 12 
Come to 25th floor service elevator. - KIM ROSS</t>
  </si>
  <si>
    <t>Seyfarth Shaw attorneys</t>
  </si>
  <si>
    <t>mst.hilaire@seyfarth.com</t>
  </si>
  <si>
    <t>Magna St Hilaire</t>
  </si>
  <si>
    <t>404-885-6740</t>
  </si>
  <si>
    <t xml:space="preserve">1075 Peachtree St NE </t>
  </si>
  <si>
    <t>https://docs.google.com/document/d/1jluNJx3zXn0ZbfMO_qnJCydgLaYJoGGCLvZGdi-2blk/edit?tab=t.0</t>
  </si>
  <si>
    <t xml:space="preserve">After April 19 Ham and Turkey 1 person is picking up </t>
  </si>
  <si>
    <t xml:space="preserve">Beta Club Tucker Midvale Elementary school </t>
  </si>
  <si>
    <t>250 ham</t>
  </si>
  <si>
    <t>Friday</t>
  </si>
  <si>
    <t>stacydejesus2007@gmail.com</t>
  </si>
  <si>
    <t>Stacy De Jesus</t>
  </si>
  <si>
    <t>3836 Midvale Rd, Tucker, GA 30084</t>
  </si>
  <si>
    <t xml:space="preserve">cancelled because they didint have enough time to make sandwiches </t>
  </si>
  <si>
    <t>Mt Vernon School</t>
  </si>
  <si>
    <t>Maya Chopra</t>
  </si>
  <si>
    <t>404-333-4421</t>
  </si>
  <si>
    <t>510 Mount Vernon Hwy NE, Atlanta, GA 30328</t>
  </si>
  <si>
    <t xml:space="preserve">need pick up at 11:30, deliver to Steph, Emily Roscher pu </t>
  </si>
  <si>
    <t>Congregation Or VeShalom</t>
  </si>
  <si>
    <t>200 PBJ</t>
  </si>
  <si>
    <r>
      <rPr>
        <rFont val="Arial"/>
        <color theme="1"/>
        <sz val="12.0"/>
      </rPr>
      <t>angie.weiland0909@gmail.com</t>
    </r>
  </si>
  <si>
    <t>Angie Weiland</t>
  </si>
  <si>
    <t>404-862-4348</t>
  </si>
  <si>
    <t>1681 N Druid Hills Rd, Atlanta, GA 30319</t>
  </si>
  <si>
    <t>pick up 4:30, Steph will pu</t>
  </si>
  <si>
    <t>02284 Girls scout troop</t>
  </si>
  <si>
    <t>200 deli</t>
  </si>
  <si>
    <t xml:space="preserve">yes </t>
  </si>
  <si>
    <t>gstroop02284@gmail.com</t>
  </si>
  <si>
    <t>Destinee Roberts</t>
  </si>
  <si>
    <t>310-6861001</t>
  </si>
  <si>
    <t>stephanie</t>
  </si>
  <si>
    <t>760 Hurt Rd SW We are around the back side of the church.
Smyrna, GA 30082</t>
  </si>
  <si>
    <t>https://docs.google.com/document/d/1UvoCxPdO0ecW092lJxhTkjV_7oZSz_fh-OHV47LK1wY/edit?tab=t.0</t>
  </si>
  <si>
    <t>4 pm pick up, deliver to Steph, Laura Myler pu</t>
  </si>
  <si>
    <t xml:space="preserve">Daisy Troop 24126 </t>
  </si>
  <si>
    <t>soonlyweds@gmail.com</t>
  </si>
  <si>
    <t>Saudhy (Saudi) Fahm. Saudi also did MLK day at Barnwell elementary</t>
  </si>
  <si>
    <t xml:space="preserve">(770) 685-9600
</t>
  </si>
  <si>
    <t xml:space="preserve">Stephanie </t>
  </si>
  <si>
    <t xml:space="preserve">9904 Inisfree Drive Johns Creek 30022 </t>
  </si>
  <si>
    <t>https://docs.google.com/document/d/1V2O3dS8WfoZAmafeLVhllRhGi1vwRUMudEgxrhQu-l0/edit?tab=t.0</t>
  </si>
  <si>
    <t xml:space="preserve">pick up any time after 8 AM; Darryl pick up </t>
  </si>
  <si>
    <t>MOMS Club of Marietta - East</t>
  </si>
  <si>
    <t>amy.gabbert00@gmail.com</t>
  </si>
  <si>
    <t>Amy Gabbert</t>
  </si>
  <si>
    <t>770-378-1913</t>
  </si>
  <si>
    <t>3315 Cranmore Chase, Marietta 30066</t>
  </si>
  <si>
    <t>Marcy stated we can have a driver pick up even though it is only 100 deli. 3 miles from her house. Steph picks up</t>
  </si>
  <si>
    <t>No pics</t>
  </si>
  <si>
    <t>Jabian consulting</t>
  </si>
  <si>
    <t>emily.kelly@jabian.com</t>
  </si>
  <si>
    <t>Emily Kelly</t>
  </si>
  <si>
    <t xml:space="preserve">7000 central parkway dunwoody ga 
30328
</t>
  </si>
  <si>
    <t>https://docs.google.com/document/d/1q0xaDk1kfcaW2I0YX-xBOox7zSmc0FJFiiwQM7t-Kp0/edit?tab=t.0</t>
  </si>
  <si>
    <t>Jen will pick up</t>
  </si>
  <si>
    <t>Accelecom</t>
  </si>
  <si>
    <t>terry.scott@accelecom.net</t>
  </si>
  <si>
    <t>Terry Scott</t>
  </si>
  <si>
    <t>(502) 609-6454</t>
  </si>
  <si>
    <t>1470 Riveredge Pkwy, Sandy Springs, GA 30328</t>
  </si>
  <si>
    <t>Karen to pickup take to Nancy's</t>
  </si>
  <si>
    <t>BrkThru Media</t>
  </si>
  <si>
    <r>
      <rPr>
        <rFont val="Arial"/>
        <color theme="1"/>
        <sz val="12.0"/>
      </rPr>
      <t>traci@brkthru.com</t>
    </r>
  </si>
  <si>
    <t>Traci Will</t>
  </si>
  <si>
    <t>847-736-3719</t>
  </si>
  <si>
    <t>need pick up drop to Marcy - Claire Jo Wise PU</t>
  </si>
  <si>
    <t>Intradiem Inc</t>
  </si>
  <si>
    <t>savita.mahesh@intradiem.com</t>
  </si>
  <si>
    <t>Savita Mahesh</t>
  </si>
  <si>
    <t>‪(770) 329-6710‬</t>
  </si>
  <si>
    <t>ROAM facility - 1151 Hammond Drive NE, Suite 240, Atlanta, GA 30346</t>
  </si>
  <si>
    <t>https://docs.google.com/document/d/1bzcsdO98Ct-IjZBd_M0kLUvvHg5HXi7lDSJ7UsfUor0/edit?tab=t.0</t>
  </si>
  <si>
    <t>Nancy to attend</t>
  </si>
  <si>
    <t>Salesforce</t>
  </si>
  <si>
    <t>elana.daniel@salesforce.com</t>
  </si>
  <si>
    <t>Elana Daniel</t>
  </si>
  <si>
    <t>646.416.3931</t>
  </si>
  <si>
    <t>Nancy/Jen</t>
  </si>
  <si>
    <t>950 E Paces Ferry, Atl</t>
  </si>
  <si>
    <t>School delivers to Veronica</t>
  </si>
  <si>
    <t>no pics</t>
  </si>
  <si>
    <t>Harbour Oaks Montessori School</t>
  </si>
  <si>
    <t>dominica.homs@gmail.com</t>
  </si>
  <si>
    <t>Dominica Ramirez</t>
  </si>
  <si>
    <t>(405) 593-3487</t>
  </si>
  <si>
    <t>1741 Atlanta Hwy, Grayson, GA 30017 (Snellville)</t>
  </si>
  <si>
    <t>Marcy &amp; Steph to attend</t>
  </si>
  <si>
    <t>St Regis Atlanta</t>
  </si>
  <si>
    <r>
      <rPr>
        <rFont val="Arial"/>
        <color theme="1"/>
        <sz val="12.0"/>
      </rPr>
      <t>jennifer.lamourt@stregis.com</t>
    </r>
  </si>
  <si>
    <t>Jennifer Lamourt</t>
  </si>
  <si>
    <t>404-561-0279</t>
  </si>
  <si>
    <t>88 W Paces Ferry Rd NW, Atlanta, GA 30305</t>
  </si>
  <si>
    <t>https://docs.google.com/document/d/1EWvjoqeNbMSBd3tXKVm1R5rge6jodplLVxv9J8_38Ws/edit?tab=t.0</t>
  </si>
  <si>
    <t>needs to schedule a call; 4 classes-75 students making sandwiches, 4+ adults. In Buckhead (Atlanta, GA) - Jen emailed about scheduling a call Jan Jay PU</t>
  </si>
  <si>
    <t>Garden Hills Elementary</t>
  </si>
  <si>
    <t>melissa.gilbert@atlanta.k12.ga.us</t>
  </si>
  <si>
    <t>Melissa Gilbert</t>
  </si>
  <si>
    <t>(404) 819-5215</t>
  </si>
  <si>
    <t>Suzanne O'Brien pu, deliver to Steph</t>
  </si>
  <si>
    <t>Kings Ridge Christian School 2nd Grade</t>
  </si>
  <si>
    <r>
      <rPr>
        <rFont val="Arial"/>
        <color theme="1"/>
        <sz val="12.0"/>
      </rPr>
      <t>brittany.palazzo@kingsridgecs.org</t>
    </r>
  </si>
  <si>
    <t>Brittany Palazzo</t>
  </si>
  <si>
    <t>770-823-2984</t>
  </si>
  <si>
    <t>2765 Bethany Bend, Alpharetta, GA 30004 (need labels)</t>
  </si>
  <si>
    <t xml:space="preserve">Karen + friend &amp; Steph attend. Gary to drive van on Fri; Pat take to Gateway on Sat </t>
  </si>
  <si>
    <t>Webb Bridge Annual Day of Service</t>
  </si>
  <si>
    <t>leftwicha@fultonschools.org</t>
  </si>
  <si>
    <t>Albany Leftwich</t>
  </si>
  <si>
    <t>(423) 503-5985</t>
  </si>
  <si>
    <t>4455 Webb Bridge Rd, Alpharetta, GA 30005</t>
  </si>
  <si>
    <t>https://docs.google.com/document/d/1YczdFB6k3V-4onJsNsbtVWPpWQHXErVmFJI20sez3yM/edit?tab=t.0</t>
  </si>
  <si>
    <t>need pick up at 2 PM drop to Steph's Bob O'Donnell PU</t>
  </si>
  <si>
    <t>Raw Cove</t>
  </si>
  <si>
    <t>lucendiflorveus@gmail.com</t>
  </si>
  <si>
    <t>Lucendi Florveus</t>
  </si>
  <si>
    <t>336-804-9496</t>
  </si>
  <si>
    <t>2265 Marietta Blvd NW, Atlanta GA 30318</t>
  </si>
  <si>
    <t>50-80 volunteers; Julie B attend;  Henry PU</t>
  </si>
  <si>
    <t>Livsey Elementary School</t>
  </si>
  <si>
    <r>
      <rPr>
        <rFont val="Arial"/>
        <color theme="1"/>
        <sz val="12.0"/>
      </rPr>
      <t>henderson.teresa@gmail.com</t>
    </r>
  </si>
  <si>
    <t>Teresa Henderson</t>
  </si>
  <si>
    <t>404-697-0890</t>
  </si>
  <si>
    <t xml:space="preserve">Steph </t>
  </si>
  <si>
    <t>4137 Livsey Rd, Tucker, GA 30084</t>
  </si>
  <si>
    <t>https://docs.google.com/document/d/13XX-jmHuEa6_MCBbif-dTTz-QET4lSnDiyfxp6fOsJU/edit?tab=t.0</t>
  </si>
  <si>
    <t>Stephanie M hopes to attend. This event would take place at Virginia-Highland Church in Atlanta, GA from 5:00pm-7:00pm. Laurie Myler PU AND Veronica &amp; Aimee Cash PU, Jordan works out keeping these Intown</t>
  </si>
  <si>
    <r>
      <rPr>
        <rFont val="Arial"/>
        <color theme="1"/>
        <sz val="12.0"/>
        <u/>
      </rPr>
      <t>collectiveatl.org</t>
    </r>
    <r>
      <rPr>
        <rFont val="Arial"/>
        <color theme="1"/>
        <sz val="12.0"/>
      </rPr>
      <t xml:space="preserve"> church</t>
    </r>
  </si>
  <si>
    <t>michael@collectiveatl.org</t>
  </si>
  <si>
    <t>Michael schulte</t>
  </si>
  <si>
    <t>404 436 2094</t>
  </si>
  <si>
    <t>Virginia-Highland Church in Atlanta, GA from 5:00pm-7:00pm.</t>
  </si>
  <si>
    <t>set 12 making at 1</t>
  </si>
  <si>
    <t xml:space="preserve">Steph is going </t>
  </si>
  <si>
    <t xml:space="preserve">TNT Sports NCAA </t>
  </si>
  <si>
    <t>Katherine.wright@wbd.com</t>
  </si>
  <si>
    <t>Katherine Wright</t>
  </si>
  <si>
    <t>‪(601) 951-6996‬</t>
  </si>
  <si>
    <t xml:space="preserve">1050 techwood drive midtown 
Visitors send the names coming I can put into our visitor directory gate 1 on techwood drive tell their names to security and find their name in visiting directory.  Give them my number to meet them.  
</t>
  </si>
  <si>
    <t>https://docs.google.com/document/d/1lnID0FikIG57E0vA7UmwFHHSyGM4gMgX6s84CCjO4pA/edit?tab=t.0</t>
  </si>
  <si>
    <t xml:space="preserve">Interns making. Veronica Kelly-Cash picks up </t>
  </si>
  <si>
    <t>RWC</t>
  </si>
  <si>
    <t>jacquelyn.alford@rwc.com</t>
  </si>
  <si>
    <t>Jacquelyn Alford</t>
  </si>
  <si>
    <t>770 863 4015</t>
  </si>
  <si>
    <t>2300 Defoor Hills RD NW Atlanta GA 30318</t>
  </si>
  <si>
    <t xml:space="preserve">dropping off at host home </t>
  </si>
  <si>
    <t>Hadassah</t>
  </si>
  <si>
    <t>Lindashloss@gmail.com</t>
  </si>
  <si>
    <t>Linda Glovsky</t>
  </si>
  <si>
    <t>(954) 465-9236</t>
  </si>
  <si>
    <t>potential for regular donations. Steph pick up</t>
  </si>
  <si>
    <t>Village Oaks Subdivision</t>
  </si>
  <si>
    <t>radhikavalmiki@gmail.com</t>
  </si>
  <si>
    <t>Radhika Raghunathan</t>
  </si>
  <si>
    <t>Stephanie</t>
  </si>
  <si>
    <t>Village Oaks Subdivision Residents Team  waiting on an address</t>
  </si>
  <si>
    <t>https://docs.google.com/document/d/10QpbR_KZbiyd_yGDMNC1yV5DrGxWCGjgQGHjhbFb1nU/edit?tab=t.0</t>
  </si>
  <si>
    <t xml:space="preserve">Akesha is safe serve certified. making at their clubhouse with refrigeration. Veronica picks up and delivers to Laura </t>
  </si>
  <si>
    <t>made outside</t>
  </si>
  <si>
    <t>Seed Sew Harvest Atlanta</t>
  </si>
  <si>
    <t>250 deli</t>
  </si>
  <si>
    <t xml:space="preserve">Akeshalarkins@aol.com
</t>
  </si>
  <si>
    <t>Akesha Larkins</t>
  </si>
  <si>
    <t>stephanie m</t>
  </si>
  <si>
    <t>3871 Red Wine Rd Atlanta GA 30344</t>
  </si>
  <si>
    <t>https://docs.google.com/document/d/1FIdLvvOObqhCLlS9WnI3VQlDM8X1Qh0aoxm93ovTlRo/edit?tab=t.0</t>
  </si>
  <si>
    <t>Pick up time 3:30 Jonathan Hobson PU</t>
  </si>
  <si>
    <t>All Souls Fellowship Church Youth Group</t>
  </si>
  <si>
    <r>
      <rPr>
        <rFont val="Arial"/>
        <color rgb="FF1155CC"/>
        <sz val="12.0"/>
        <u/>
      </rPr>
      <t>morgan@allsoulsfellowship.org</t>
    </r>
  </si>
  <si>
    <t>Morgan Current</t>
  </si>
  <si>
    <t xml:space="preserve">647 EAST COLLEGE AVENUE
DECATUR 30030
</t>
  </si>
  <si>
    <t>https://docs.google.com/document/d/1iIu7LNP-QwFrx8U1lXy5i8ZjdTXSvek9jAHvZsLLhZs/edit?tab=t.0</t>
  </si>
  <si>
    <t>Pickup time 12:30.  They will have bars and fruit as well as sandwiches. Laurie Myler picks up and delivers to Marcy</t>
  </si>
  <si>
    <t>X - group photo posted</t>
  </si>
  <si>
    <t>Sandy Springs Christian Church</t>
  </si>
  <si>
    <t>kendra.plotkin@gmail.com</t>
  </si>
  <si>
    <t>Kendra Plotkin</t>
  </si>
  <si>
    <t>Juliet will speak; Sarah Allsup PU; sandwiches to Jordan; Juliet working on flyer</t>
  </si>
  <si>
    <t>Extramile Tutoring</t>
  </si>
  <si>
    <t>deena@extramiletutoring.com</t>
  </si>
  <si>
    <t>Deena Brogdon</t>
  </si>
  <si>
    <t>Stephanie M.</t>
  </si>
  <si>
    <t xml:space="preserve">1612 Drew Dr NW Atlanta GA </t>
  </si>
  <si>
    <t>https://docs.google.com/document/d/1zmHyOifDuJvXQ6iafLDTX4b3rGUUWOt2R8aC3dJrrcA/edit?tab=t.0</t>
  </si>
  <si>
    <t>The driver should come to building C. Tracie Nowak PU take to Marcy's</t>
  </si>
  <si>
    <t>Simpsonwood UMC</t>
  </si>
  <si>
    <r>
      <rPr>
        <rFont val="Arial"/>
        <color rgb="FF1155CC"/>
        <sz val="12.0"/>
        <u/>
      </rPr>
      <t>Ladip660@gmail.com</t>
    </r>
  </si>
  <si>
    <t>Diane Pittman</t>
  </si>
  <si>
    <t>770-846-7740</t>
  </si>
  <si>
    <t>4500 Jones Bridge Cir NW, Peachtree Corners, GA 30092</t>
  </si>
  <si>
    <t>Kate will deliver to Marcy</t>
  </si>
  <si>
    <t>Network 1 Consulting</t>
  </si>
  <si>
    <t>kate.dolan@comcast.net</t>
  </si>
  <si>
    <t>Kate Dolan</t>
  </si>
  <si>
    <t>(404) 271-4352‬</t>
  </si>
  <si>
    <t>possibly half to Vicki &amp; half to Marcy; Karen speaking; Adam driving the van</t>
  </si>
  <si>
    <t>NCL East Cobb at St Ann's Church</t>
  </si>
  <si>
    <t>Jseverson123@gmail.com</t>
  </si>
  <si>
    <t>Jeanette</t>
  </si>
  <si>
    <t>817-739-8091</t>
  </si>
  <si>
    <t>Vicki</t>
  </si>
  <si>
    <t>4905 Roswell Road, Marietta, Georgia 30062</t>
  </si>
  <si>
    <t>dropping off to Marcy</t>
  </si>
  <si>
    <t>Renee V</t>
  </si>
  <si>
    <t>Kimberly Ross speak + PU 300; Noel Clark p/u 400 sandwiches</t>
  </si>
  <si>
    <t>Troutman Pepper Locke</t>
  </si>
  <si>
    <r>
      <rPr>
        <rFont val="Arial"/>
        <color rgb="FF1155CC"/>
        <sz val="12.0"/>
      </rPr>
      <t>beth.newton@troutman.com</t>
    </r>
  </si>
  <si>
    <t>Beth Newton</t>
  </si>
  <si>
    <t>404-667-6907</t>
  </si>
  <si>
    <t>600 Peachtree Street NE #3000, Atlanta, GA 30308; 20 people</t>
  </si>
  <si>
    <t xml:space="preserve">Kimberly Ross, Elizabeth Valenzuela (new volunteer) &amp; Juliet (can attend until 10:30); Gary to take to Gateway on Friday; Jan Jay and friend picking up @ 2 PM - per Marcy, Jan Jay and friend will not drive but Adam will bring the van </t>
  </si>
  <si>
    <t>St Jude the Apostle Catholic Church</t>
  </si>
  <si>
    <t>kkinne@saintjude.net</t>
  </si>
  <si>
    <t>Kelly Kinne</t>
  </si>
  <si>
    <t>7171 Glenridge Dr, Atlanta, GA 30328</t>
  </si>
  <si>
    <t>https://docs.google.com/document/d/1yMZNoSFvZ8L7dgvHRSnEwFhPtrDyyxAn7zZiK9EPMgQ/edit?tab=t.0</t>
  </si>
  <si>
    <t>have made before; Andrew PU, deliver to Marcy/Steph</t>
  </si>
  <si>
    <t>Costar</t>
  </si>
  <si>
    <t>rcampbell@costar.com</t>
  </si>
  <si>
    <t>Rodney Campbell</t>
  </si>
  <si>
    <t>(678) 619-6930</t>
  </si>
  <si>
    <t>3438 Peachtree Rd Atlanta GA 30326</t>
  </si>
  <si>
    <t>Carrey (and son) to speak and pick up; drop off at Nancy's</t>
  </si>
  <si>
    <t>8U Ocee Baseball</t>
  </si>
  <si>
    <t>jordanwarner@parishanglican.org</t>
  </si>
  <si>
    <t>Jordan Warner</t>
  </si>
  <si>
    <t>Stephanie Merling</t>
  </si>
  <si>
    <t>37 Church St., Alpharetta</t>
  </si>
  <si>
    <t>https://docs.google.com/document/d/1HSsdPSWPvZZFvjsqGMOC6szm7L3aRNwxf0QbpEYfvss/edit?tab=t.0</t>
  </si>
  <si>
    <t>drop off at Jordan's</t>
  </si>
  <si>
    <t>Brookhaven Rotary Club</t>
  </si>
  <si>
    <t>Linda@hatten.org</t>
  </si>
  <si>
    <t>Linda Hatten</t>
  </si>
  <si>
    <t>404-457-8843</t>
  </si>
  <si>
    <t>Gary picking up</t>
  </si>
  <si>
    <t xml:space="preserve">Merill Lynch </t>
  </si>
  <si>
    <t>Jessica Singh</t>
  </si>
  <si>
    <t>770-361-1006</t>
  </si>
  <si>
    <t>will need pick up, deliver to Laura or Jordan; driver to call Amy on arrival, Emily PU</t>
  </si>
  <si>
    <t>St Pius Football</t>
  </si>
  <si>
    <t>asweick@gmail.com</t>
  </si>
  <si>
    <t>Amy Weick</t>
  </si>
  <si>
    <t>404-444-1556</t>
  </si>
  <si>
    <t>2674 Johnson Rd NE, Atlanta, GA 30345</t>
  </si>
  <si>
    <t>Steph pick up</t>
  </si>
  <si>
    <t>Congregation Ner Tamid</t>
  </si>
  <si>
    <t>jleff71@yahoo.com</t>
  </si>
  <si>
    <t>Johanna Kohler</t>
  </si>
  <si>
    <t>770-595-5977</t>
  </si>
  <si>
    <t>1349 Old 41 Hwy, Ste 220</t>
  </si>
  <si>
    <t>deliver to Jordan or Steph, Kim Ross PU</t>
  </si>
  <si>
    <t xml:space="preserve">Mercer LCC Atlanta </t>
  </si>
  <si>
    <r>
      <rPr>
        <rFont val="Arial"/>
        <color theme="1"/>
        <sz val="12.0"/>
      </rPr>
      <t>lcsrlobo@gmail.com</t>
    </r>
  </si>
  <si>
    <t>Lucas Lobo</t>
  </si>
  <si>
    <t>410-310-0349</t>
  </si>
  <si>
    <t xml:space="preserve">3560 Lenox Road Northeast, Atlanta, GA, USA; We can meet you all outside of Two Alliance Center 
</t>
  </si>
  <si>
    <t>Stephanie M &amp; Juliet to attend; Gary drives the van. deliver to Marcy / Steph; new volunteer Karen Dillon</t>
  </si>
  <si>
    <t>Google</t>
  </si>
  <si>
    <t>caiti@google.com</t>
  </si>
  <si>
    <t>Caiti Banks</t>
  </si>
  <si>
    <t>517-605-5879</t>
  </si>
  <si>
    <t>https://www.google.com/maps/search/1105+W+Peachtree+St+NW,+Atlanta,+GA+30309?entry=gmail&amp;source=g</t>
  </si>
  <si>
    <t>Will deliver to Jen</t>
  </si>
  <si>
    <t>VOYA</t>
  </si>
  <si>
    <t>Emily Dobson</t>
  </si>
  <si>
    <t>(770) 862-3131‬</t>
  </si>
  <si>
    <t>Karen to pick up; Steph to get with M &amp; K on details, possible need for van</t>
  </si>
  <si>
    <t xml:space="preserve">Morgan Stanley </t>
  </si>
  <si>
    <t>James.cunningham@morganstanley.com</t>
  </si>
  <si>
    <t>James Cunningham</t>
  </si>
  <si>
    <t>281-630-6398</t>
  </si>
  <si>
    <t xml:space="preserve">Made last year have refrigeration; Jordan will use them for EF; Elizabeth Gordon pu and deliver to Laura </t>
  </si>
  <si>
    <t>The Wilbert Group</t>
  </si>
  <si>
    <t>acyr@thewilbertgroup.com</t>
  </si>
  <si>
    <t>Allie Cyr</t>
  </si>
  <si>
    <t>470-9551871</t>
  </si>
  <si>
    <t>1720 Peachtree St NE, Atlanta, GA 30309</t>
  </si>
  <si>
    <t>Target HR</t>
  </si>
  <si>
    <t>sandy.lee@Target.com</t>
  </si>
  <si>
    <t>Sandy Lee</t>
  </si>
  <si>
    <t>917-243-3284</t>
  </si>
  <si>
    <t>1135 Woodstock Rd, Roswell, GA 30075</t>
  </si>
  <si>
    <t xml:space="preserve">Jonathan Hobson PU to Laura for EF </t>
  </si>
  <si>
    <t>Mountain West Church</t>
  </si>
  <si>
    <r>
      <rPr>
        <rFont val="Arial"/>
        <color theme="1"/>
        <sz val="12.0"/>
      </rPr>
      <t>danny@mwchurch.com</t>
    </r>
  </si>
  <si>
    <t>Danny Cadorette</t>
  </si>
  <si>
    <t>561-633-0048</t>
  </si>
  <si>
    <t>4818 Hugh Howell Rd Stone Mountain GA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</si>
</sst>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ss am/pm"/>
    <numFmt numFmtId="165" formatCode="M/d/yyyy"/>
  </numFmts>
  <fonts count="21">
    <font>
      <sz val="10.0"/>
      <color rgb="FF000000"/>
      <name val="Arial"/>
      <scheme val="minor"/>
    </font>
    <font>
      <b/>
      <color theme="1"/>
      <name val="Arial"/>
    </font>
    <font>
      <b/>
      <sz val="12.0"/>
      <color theme="1"/>
      <name val="Arial"/>
    </font>
    <font>
      <color theme="1"/>
      <name val="Arial"/>
    </font>
    <font>
      <sz val="12.0"/>
      <color theme="1"/>
      <name val="Arial"/>
    </font>
    <font>
      <sz val="12.0"/>
      <color rgb="FFFF0000"/>
      <name val="Arial"/>
    </font>
    <font>
      <u/>
      <sz val="12.0"/>
      <color rgb="FF1155CC"/>
      <name val="Arial"/>
    </font>
    <font>
      <sz val="12.0"/>
      <color rgb="FF222222"/>
      <name val="Arial"/>
    </font>
    <font>
      <u/>
      <sz val="12.0"/>
      <color rgb="FF1155CC"/>
      <name val="Arial"/>
    </font>
    <font>
      <sz val="12.0"/>
      <color rgb="FF1F1F1F"/>
      <name val="Arial"/>
    </font>
    <font>
      <u/>
      <sz val="12.0"/>
      <color rgb="FF1155CC"/>
      <name val="Arial"/>
    </font>
    <font>
      <u/>
      <sz val="12.0"/>
      <color theme="1"/>
      <name val="Arial"/>
    </font>
    <font>
      <u/>
      <sz val="12.0"/>
      <color rgb="FF1155CC"/>
      <name val="Arial"/>
    </font>
    <font>
      <u/>
      <sz val="12.0"/>
      <color rgb="FF1155CC"/>
      <name val="Arial"/>
    </font>
    <font>
      <u/>
      <sz val="12.0"/>
      <color rgb="FF1155CC"/>
      <name val="Arial"/>
    </font>
    <font>
      <u/>
      <sz val="12.0"/>
      <color rgb="FF1155CC"/>
      <name val="Arial"/>
    </font>
    <font>
      <u/>
      <sz val="12.0"/>
      <color theme="1"/>
      <name val="Arial"/>
    </font>
    <font>
      <u/>
      <sz val="12.0"/>
      <color rgb="FF1155CC"/>
      <name val="Arial"/>
    </font>
    <font>
      <u/>
      <sz val="12.0"/>
      <color rgb="FF1155CC"/>
      <name val="Arial"/>
    </font>
    <font>
      <sz val="12.0"/>
      <color rgb="FF001D35"/>
      <name val="Arial"/>
    </font>
    <font>
      <u/>
      <sz val="12.0"/>
      <color rgb="FF1155CC"/>
      <name val="Arial"/>
    </font>
  </fonts>
  <fills count="18">
    <fill>
      <patternFill patternType="none"/>
    </fill>
    <fill>
      <patternFill patternType="lightGray"/>
    </fill>
    <fill>
      <patternFill patternType="solid">
        <fgColor rgb="FFF9CB9C"/>
        <bgColor rgb="FFF9CB9C"/>
      </patternFill>
    </fill>
    <fill>
      <patternFill patternType="solid">
        <fgColor rgb="FFB6D7A8"/>
        <bgColor rgb="FFB6D7A8"/>
      </patternFill>
    </fill>
    <fill>
      <patternFill patternType="solid">
        <fgColor rgb="FFFF0000"/>
        <bgColor rgb="FFFF0000"/>
      </patternFill>
    </fill>
    <fill>
      <patternFill patternType="solid">
        <fgColor rgb="FFC9DAF8"/>
        <bgColor rgb="FFC9DAF8"/>
      </patternFill>
    </fill>
    <fill>
      <patternFill patternType="solid">
        <fgColor rgb="FFD9D2E9"/>
        <bgColor rgb="FFD9D2E9"/>
      </patternFill>
    </fill>
    <fill>
      <patternFill patternType="solid">
        <fgColor rgb="FFFFE599"/>
        <bgColor rgb="FFFFE599"/>
      </patternFill>
    </fill>
    <fill>
      <patternFill patternType="solid">
        <fgColor rgb="FFF8F2EB"/>
        <bgColor rgb="FFF8F2EB"/>
      </patternFill>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B4A7D6"/>
        <bgColor rgb="FFB4A7D6"/>
      </patternFill>
    </fill>
    <fill>
      <patternFill patternType="solid">
        <fgColor rgb="FFF6B26B"/>
        <bgColor rgb="FFF6B26B"/>
      </patternFill>
    </fill>
    <fill>
      <patternFill patternType="solid">
        <fgColor rgb="FFFFF2CC"/>
        <bgColor rgb="FFFFF2CC"/>
      </patternFill>
    </fill>
    <fill>
      <patternFill patternType="solid">
        <fgColor rgb="FF4A86E8"/>
        <bgColor rgb="FF4A86E8"/>
      </patternFill>
    </fill>
    <fill>
      <patternFill patternType="solid">
        <fgColor rgb="FF4285F4"/>
        <bgColor rgb="FF4285F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2" numFmtId="164" xfId="0" applyAlignment="1" applyBorder="1" applyFont="1" applyNumberFormat="1">
      <alignment shrinkToFit="0" vertical="top" wrapText="1"/>
    </xf>
    <xf borderId="1" fillId="2" fontId="2" numFmtId="49" xfId="0" applyAlignment="1" applyBorder="1" applyFont="1" applyNumberFormat="1">
      <alignment shrinkToFit="0" vertical="top" wrapText="1"/>
    </xf>
    <xf borderId="1" fillId="2" fontId="2" numFmtId="0" xfId="0" applyAlignment="1" applyBorder="1" applyFont="1">
      <alignment shrinkToFit="0" vertical="top" wrapText="1"/>
    </xf>
    <xf borderId="1" fillId="2" fontId="3" numFmtId="0" xfId="0" applyAlignment="1" applyBorder="1" applyFont="1">
      <alignment vertical="top"/>
    </xf>
    <xf borderId="1" fillId="3" fontId="4" numFmtId="165" xfId="0" applyAlignment="1" applyBorder="1" applyFill="1" applyFont="1" applyNumberFormat="1">
      <alignment shrinkToFit="0" vertical="top" wrapText="1"/>
    </xf>
    <xf borderId="1" fillId="3" fontId="3" numFmtId="164" xfId="0" applyAlignment="1" applyBorder="1" applyFont="1" applyNumberFormat="1">
      <alignment vertical="top"/>
    </xf>
    <xf borderId="1" fillId="3" fontId="4" numFmtId="49" xfId="0" applyAlignment="1" applyBorder="1" applyFont="1" applyNumberFormat="1">
      <alignment shrinkToFit="0" vertical="top" wrapText="1"/>
    </xf>
    <xf borderId="1" fillId="3" fontId="3" numFmtId="0" xfId="0" applyAlignment="1" applyBorder="1" applyFont="1">
      <alignment vertical="top"/>
    </xf>
    <xf borderId="1" fillId="3" fontId="4" numFmtId="0" xfId="0" applyAlignment="1" applyBorder="1" applyFont="1">
      <alignment shrinkToFit="0" vertical="top" wrapText="1"/>
    </xf>
    <xf borderId="1" fillId="4" fontId="4" numFmtId="165" xfId="0" applyAlignment="1" applyBorder="1" applyFill="1" applyFont="1" applyNumberFormat="1">
      <alignment shrinkToFit="0" vertical="top" wrapText="1"/>
    </xf>
    <xf borderId="1" fillId="4" fontId="3" numFmtId="164" xfId="0" applyAlignment="1" applyBorder="1" applyFont="1" applyNumberFormat="1">
      <alignment vertical="top"/>
    </xf>
    <xf borderId="1" fillId="4" fontId="4" numFmtId="49" xfId="0" applyAlignment="1" applyBorder="1" applyFont="1" applyNumberFormat="1">
      <alignment shrinkToFit="0" vertical="top" wrapText="1"/>
    </xf>
    <xf borderId="1" fillId="4" fontId="3" numFmtId="0" xfId="0" applyAlignment="1" applyBorder="1" applyFont="1">
      <alignment vertical="top"/>
    </xf>
    <xf borderId="1" fillId="4" fontId="4" numFmtId="0" xfId="0" applyAlignment="1" applyBorder="1" applyFont="1">
      <alignment shrinkToFit="0" vertical="top" wrapText="1"/>
    </xf>
    <xf borderId="1" fillId="5" fontId="4" numFmtId="165" xfId="0" applyAlignment="1" applyBorder="1" applyFill="1" applyFont="1" applyNumberFormat="1">
      <alignment shrinkToFit="0" vertical="top" wrapText="1"/>
    </xf>
    <xf borderId="1" fillId="5" fontId="3" numFmtId="164" xfId="0" applyAlignment="1" applyBorder="1" applyFont="1" applyNumberFormat="1">
      <alignment vertical="top"/>
    </xf>
    <xf borderId="1" fillId="5" fontId="4" numFmtId="49" xfId="0" applyAlignment="1" applyBorder="1" applyFont="1" applyNumberFormat="1">
      <alignment shrinkToFit="0" vertical="top" wrapText="1"/>
    </xf>
    <xf borderId="1" fillId="5" fontId="3" numFmtId="0" xfId="0" applyAlignment="1" applyBorder="1" applyFont="1">
      <alignment vertical="top"/>
    </xf>
    <xf borderId="1" fillId="5" fontId="4" numFmtId="0" xfId="0" applyAlignment="1" applyBorder="1" applyFont="1">
      <alignment shrinkToFit="0" vertical="top" wrapText="1"/>
    </xf>
    <xf borderId="1" fillId="5" fontId="5" numFmtId="165" xfId="0" applyAlignment="1" applyBorder="1" applyFont="1" applyNumberFormat="1">
      <alignment shrinkToFit="0" vertical="top" wrapText="1"/>
    </xf>
    <xf borderId="1" fillId="5" fontId="3" numFmtId="49" xfId="0" applyAlignment="1" applyBorder="1" applyFont="1" applyNumberFormat="1">
      <alignment vertical="top"/>
    </xf>
    <xf borderId="1" fillId="5" fontId="5" numFmtId="0" xfId="0" applyAlignment="1" applyBorder="1" applyFont="1">
      <alignment shrinkToFit="0" vertical="top" wrapText="1"/>
    </xf>
    <xf borderId="1" fillId="5" fontId="6" numFmtId="0" xfId="0" applyAlignment="1" applyBorder="1" applyFont="1">
      <alignment shrinkToFit="0" vertical="top" wrapText="1"/>
    </xf>
    <xf borderId="1" fillId="5" fontId="7" numFmtId="49" xfId="0" applyAlignment="1" applyBorder="1" applyFont="1" applyNumberFormat="1">
      <alignment shrinkToFit="0" vertical="top" wrapText="1"/>
    </xf>
    <xf borderId="1" fillId="6" fontId="5" numFmtId="165" xfId="0" applyAlignment="1" applyBorder="1" applyFill="1" applyFont="1" applyNumberFormat="1">
      <alignment shrinkToFit="0" vertical="top" wrapText="1"/>
    </xf>
    <xf borderId="1" fillId="6" fontId="3" numFmtId="164" xfId="0" applyAlignment="1" applyBorder="1" applyFont="1" applyNumberFormat="1">
      <alignment vertical="top"/>
    </xf>
    <xf borderId="1" fillId="6" fontId="5" numFmtId="49" xfId="0" applyAlignment="1" applyBorder="1" applyFont="1" applyNumberFormat="1">
      <alignment shrinkToFit="0" vertical="top" wrapText="1"/>
    </xf>
    <xf borderId="1" fillId="6" fontId="3" numFmtId="0" xfId="0" applyAlignment="1" applyBorder="1" applyFont="1">
      <alignment vertical="top"/>
    </xf>
    <xf borderId="1" fillId="6" fontId="5" numFmtId="0" xfId="0" applyAlignment="1" applyBorder="1" applyFont="1">
      <alignment shrinkToFit="0" vertical="top" wrapText="1"/>
    </xf>
    <xf borderId="1" fillId="6" fontId="4" numFmtId="165" xfId="0" applyAlignment="1" applyBorder="1" applyFont="1" applyNumberFormat="1">
      <alignment shrinkToFit="0" vertical="top" wrapText="1"/>
    </xf>
    <xf borderId="1" fillId="6" fontId="4" numFmtId="49" xfId="0" applyAlignment="1" applyBorder="1" applyFont="1" applyNumberFormat="1">
      <alignment shrinkToFit="0" vertical="top" wrapText="1"/>
    </xf>
    <xf borderId="1" fillId="6" fontId="4" numFmtId="0" xfId="0" applyAlignment="1" applyBorder="1" applyFont="1">
      <alignment shrinkToFit="0" vertical="top" wrapText="1"/>
    </xf>
    <xf borderId="1" fillId="6" fontId="7" numFmtId="0" xfId="0" applyAlignment="1" applyBorder="1" applyFont="1">
      <alignment shrinkToFit="0" vertical="top" wrapText="1"/>
    </xf>
    <xf borderId="1" fillId="6" fontId="8" numFmtId="0" xfId="0" applyAlignment="1" applyBorder="1" applyFont="1">
      <alignment shrinkToFit="0" vertical="top" wrapText="1"/>
    </xf>
    <xf borderId="1" fillId="6" fontId="9" numFmtId="0" xfId="0" applyAlignment="1" applyBorder="1" applyFont="1">
      <alignment shrinkToFit="0" vertical="top" wrapText="1"/>
    </xf>
    <xf borderId="1" fillId="6" fontId="4" numFmtId="164" xfId="0" applyAlignment="1" applyBorder="1" applyFont="1" applyNumberFormat="1">
      <alignment shrinkToFit="0" vertical="top" wrapText="1"/>
    </xf>
    <xf borderId="1" fillId="7" fontId="3" numFmtId="165" xfId="0" applyAlignment="1" applyBorder="1" applyFill="1" applyFont="1" applyNumberFormat="1">
      <alignment vertical="top"/>
    </xf>
    <xf borderId="1" fillId="7" fontId="3" numFmtId="164" xfId="0" applyAlignment="1" applyBorder="1" applyFont="1" applyNumberFormat="1">
      <alignment vertical="top"/>
    </xf>
    <xf borderId="1" fillId="7" fontId="3" numFmtId="0" xfId="0" applyAlignment="1" applyBorder="1" applyFont="1">
      <alignment vertical="top"/>
    </xf>
    <xf borderId="1" fillId="7" fontId="4" numFmtId="165" xfId="0" applyAlignment="1" applyBorder="1" applyFont="1" applyNumberFormat="1">
      <alignment shrinkToFit="0" vertical="top" wrapText="1"/>
    </xf>
    <xf borderId="1" fillId="7" fontId="4" numFmtId="0" xfId="0" applyAlignment="1" applyBorder="1" applyFont="1">
      <alignment shrinkToFit="0" vertical="top" wrapText="1"/>
    </xf>
    <xf borderId="1" fillId="7" fontId="10" numFmtId="0" xfId="0" applyAlignment="1" applyBorder="1" applyFont="1">
      <alignment shrinkToFit="0" vertical="top" wrapText="1"/>
    </xf>
    <xf borderId="1" fillId="7" fontId="4" numFmtId="164" xfId="0" applyAlignment="1" applyBorder="1" applyFont="1" applyNumberFormat="1">
      <alignment shrinkToFit="0" vertical="top" wrapText="1"/>
    </xf>
    <xf borderId="1" fillId="7" fontId="7" numFmtId="0" xfId="0" applyAlignment="1" applyBorder="1" applyFont="1">
      <alignment shrinkToFit="0" vertical="top" wrapText="1"/>
    </xf>
    <xf borderId="1" fillId="8" fontId="4" numFmtId="165" xfId="0" applyAlignment="1" applyBorder="1" applyFill="1" applyFont="1" applyNumberFormat="1">
      <alignment shrinkToFit="0" vertical="top" wrapText="1"/>
    </xf>
    <xf borderId="1" fillId="8" fontId="4" numFmtId="164" xfId="0" applyAlignment="1" applyBorder="1" applyFont="1" applyNumberFormat="1">
      <alignment shrinkToFit="0" vertical="top" wrapText="1"/>
    </xf>
    <xf borderId="1" fillId="8" fontId="3" numFmtId="164" xfId="0" applyAlignment="1" applyBorder="1" applyFont="1" applyNumberFormat="1">
      <alignment vertical="top"/>
    </xf>
    <xf borderId="1" fillId="8" fontId="4" numFmtId="49" xfId="0" applyAlignment="1" applyBorder="1" applyFont="1" applyNumberFormat="1">
      <alignment shrinkToFit="0" vertical="top" wrapText="1"/>
    </xf>
    <xf borderId="1" fillId="8" fontId="3" numFmtId="165" xfId="0" applyAlignment="1" applyBorder="1" applyFont="1" applyNumberFormat="1">
      <alignment vertical="top"/>
    </xf>
    <xf borderId="1" fillId="8" fontId="3" numFmtId="0" xfId="0" applyAlignment="1" applyBorder="1" applyFont="1">
      <alignment vertical="top"/>
    </xf>
    <xf borderId="1" fillId="8" fontId="4" numFmtId="0" xfId="0" applyAlignment="1" applyBorder="1" applyFont="1">
      <alignment shrinkToFit="0" vertical="top" wrapText="1"/>
    </xf>
    <xf borderId="1" fillId="8" fontId="11" numFmtId="0" xfId="0" applyAlignment="1" applyBorder="1" applyFont="1">
      <alignment shrinkToFit="0" vertical="top" wrapText="1"/>
    </xf>
    <xf borderId="1" fillId="9" fontId="5" numFmtId="165" xfId="0" applyAlignment="1" applyBorder="1" applyFill="1" applyFont="1" applyNumberFormat="1">
      <alignment shrinkToFit="0" vertical="top" wrapText="1"/>
    </xf>
    <xf borderId="1" fillId="9" fontId="3" numFmtId="164" xfId="0" applyAlignment="1" applyBorder="1" applyFont="1" applyNumberFormat="1">
      <alignment vertical="top"/>
    </xf>
    <xf borderId="1" fillId="9" fontId="5" numFmtId="164" xfId="0" applyAlignment="1" applyBorder="1" applyFont="1" applyNumberFormat="1">
      <alignment shrinkToFit="0" vertical="top" wrapText="1"/>
    </xf>
    <xf borderId="1" fillId="9" fontId="5" numFmtId="49" xfId="0" applyAlignment="1" applyBorder="1" applyFont="1" applyNumberFormat="1">
      <alignment shrinkToFit="0" vertical="top" wrapText="1"/>
    </xf>
    <xf borderId="1" fillId="9" fontId="3" numFmtId="165" xfId="0" applyAlignment="1" applyBorder="1" applyFont="1" applyNumberFormat="1">
      <alignment vertical="top"/>
    </xf>
    <xf borderId="1" fillId="9" fontId="3" numFmtId="0" xfId="0" applyAlignment="1" applyBorder="1" applyFont="1">
      <alignment vertical="top"/>
    </xf>
    <xf borderId="1" fillId="9" fontId="5" numFmtId="0" xfId="0" applyAlignment="1" applyBorder="1" applyFont="1">
      <alignment shrinkToFit="0" vertical="top" wrapText="1"/>
    </xf>
    <xf borderId="1" fillId="10" fontId="4" numFmtId="165" xfId="0" applyAlignment="1" applyBorder="1" applyFill="1" applyFont="1" applyNumberFormat="1">
      <alignment shrinkToFit="0" vertical="top" wrapText="1"/>
    </xf>
    <xf borderId="1" fillId="10" fontId="3" numFmtId="164" xfId="0" applyAlignment="1" applyBorder="1" applyFont="1" applyNumberFormat="1">
      <alignment vertical="top"/>
    </xf>
    <xf borderId="1" fillId="10" fontId="4" numFmtId="49" xfId="0" applyAlignment="1" applyBorder="1" applyFont="1" applyNumberFormat="1">
      <alignment shrinkToFit="0" vertical="top" wrapText="1"/>
    </xf>
    <xf borderId="1" fillId="10" fontId="4" numFmtId="0" xfId="0" applyAlignment="1" applyBorder="1" applyFont="1">
      <alignment shrinkToFit="0" vertical="top" wrapText="1"/>
    </xf>
    <xf borderId="1" fillId="10" fontId="3" numFmtId="0" xfId="0" applyAlignment="1" applyBorder="1" applyFont="1">
      <alignment vertical="top"/>
    </xf>
    <xf borderId="1" fillId="10" fontId="12" numFmtId="0" xfId="0" applyAlignment="1" applyBorder="1" applyFont="1">
      <alignment shrinkToFit="0" vertical="top" wrapText="1"/>
    </xf>
    <xf borderId="1" fillId="11" fontId="4" numFmtId="165" xfId="0" applyAlignment="1" applyBorder="1" applyFill="1" applyFont="1" applyNumberFormat="1">
      <alignment shrinkToFit="0" vertical="top" wrapText="1"/>
    </xf>
    <xf borderId="1" fillId="11" fontId="3" numFmtId="164" xfId="0" applyAlignment="1" applyBorder="1" applyFont="1" applyNumberFormat="1">
      <alignment vertical="top"/>
    </xf>
    <xf borderId="1" fillId="11" fontId="4" numFmtId="49" xfId="0" applyAlignment="1" applyBorder="1" applyFont="1" applyNumberFormat="1">
      <alignment shrinkToFit="0" vertical="top" wrapText="1"/>
    </xf>
    <xf borderId="1" fillId="11" fontId="4" numFmtId="0" xfId="0" applyAlignment="1" applyBorder="1" applyFont="1">
      <alignment shrinkToFit="0" vertical="top" wrapText="1"/>
    </xf>
    <xf borderId="1" fillId="11" fontId="3" numFmtId="0" xfId="0" applyAlignment="1" applyBorder="1" applyFont="1">
      <alignment vertical="top"/>
    </xf>
    <xf borderId="1" fillId="11" fontId="13" numFmtId="0" xfId="0" applyAlignment="1" applyBorder="1" applyFont="1">
      <alignment shrinkToFit="0" vertical="top" wrapText="1"/>
    </xf>
    <xf borderId="1" fillId="11" fontId="4" numFmtId="164" xfId="0" applyAlignment="1" applyBorder="1" applyFont="1" applyNumberFormat="1">
      <alignment shrinkToFit="0" vertical="top" wrapText="1"/>
    </xf>
    <xf borderId="1" fillId="11" fontId="9" numFmtId="0" xfId="0" applyAlignment="1" applyBorder="1" applyFont="1">
      <alignment shrinkToFit="0" vertical="top" wrapText="1"/>
    </xf>
    <xf borderId="1" fillId="12" fontId="4" numFmtId="165" xfId="0" applyAlignment="1" applyBorder="1" applyFill="1" applyFont="1" applyNumberFormat="1">
      <alignment shrinkToFit="0" vertical="top" wrapText="1"/>
    </xf>
    <xf borderId="1" fillId="12" fontId="4" numFmtId="164" xfId="0" applyAlignment="1" applyBorder="1" applyFont="1" applyNumberFormat="1">
      <alignment shrinkToFit="0" vertical="top" wrapText="1"/>
    </xf>
    <xf borderId="1" fillId="12" fontId="3" numFmtId="164" xfId="0" applyAlignment="1" applyBorder="1" applyFont="1" applyNumberFormat="1">
      <alignment vertical="top"/>
    </xf>
    <xf borderId="1" fillId="12" fontId="4" numFmtId="49" xfId="0" applyAlignment="1" applyBorder="1" applyFont="1" applyNumberFormat="1">
      <alignment shrinkToFit="0" vertical="top" wrapText="1"/>
    </xf>
    <xf borderId="1" fillId="12" fontId="4" numFmtId="0" xfId="0" applyAlignment="1" applyBorder="1" applyFont="1">
      <alignment shrinkToFit="0" vertical="top" wrapText="1"/>
    </xf>
    <xf borderId="1" fillId="12" fontId="3" numFmtId="0" xfId="0" applyAlignment="1" applyBorder="1" applyFont="1">
      <alignment vertical="top"/>
    </xf>
    <xf borderId="1" fillId="12" fontId="14" numFmtId="0" xfId="0" applyAlignment="1" applyBorder="1" applyFont="1">
      <alignment shrinkToFit="0" vertical="top" wrapText="1"/>
    </xf>
    <xf borderId="1" fillId="12" fontId="3" numFmtId="49" xfId="0" applyAlignment="1" applyBorder="1" applyFont="1" applyNumberFormat="1">
      <alignment vertical="top"/>
    </xf>
    <xf borderId="1" fillId="13" fontId="4" numFmtId="165" xfId="0" applyAlignment="1" applyBorder="1" applyFill="1" applyFont="1" applyNumberFormat="1">
      <alignment shrinkToFit="0" vertical="top" wrapText="1"/>
    </xf>
    <xf borderId="1" fillId="13" fontId="3" numFmtId="164" xfId="0" applyAlignment="1" applyBorder="1" applyFont="1" applyNumberFormat="1">
      <alignment vertical="top"/>
    </xf>
    <xf borderId="1" fillId="13" fontId="4" numFmtId="164" xfId="0" applyAlignment="1" applyBorder="1" applyFont="1" applyNumberFormat="1">
      <alignment shrinkToFit="0" vertical="top" wrapText="1"/>
    </xf>
    <xf borderId="1" fillId="13" fontId="4" numFmtId="49" xfId="0" applyAlignment="1" applyBorder="1" applyFont="1" applyNumberFormat="1">
      <alignment shrinkToFit="0" vertical="top" wrapText="1"/>
    </xf>
    <xf borderId="1" fillId="13" fontId="4" numFmtId="0" xfId="0" applyAlignment="1" applyBorder="1" applyFont="1">
      <alignment shrinkToFit="0" vertical="top" wrapText="1"/>
    </xf>
    <xf borderId="1" fillId="13" fontId="3" numFmtId="0" xfId="0" applyAlignment="1" applyBorder="1" applyFont="1">
      <alignment vertical="top"/>
    </xf>
    <xf borderId="1" fillId="13" fontId="15" numFmtId="0" xfId="0" applyAlignment="1" applyBorder="1" applyFont="1">
      <alignment shrinkToFit="0" vertical="top" wrapText="1"/>
    </xf>
    <xf borderId="1" fillId="14" fontId="4" numFmtId="165" xfId="0" applyAlignment="1" applyBorder="1" applyFill="1" applyFont="1" applyNumberFormat="1">
      <alignment shrinkToFit="0" vertical="top" wrapText="1"/>
    </xf>
    <xf borderId="1" fillId="14" fontId="3" numFmtId="164" xfId="0" applyAlignment="1" applyBorder="1" applyFont="1" applyNumberFormat="1">
      <alignment vertical="top"/>
    </xf>
    <xf borderId="1" fillId="14" fontId="4" numFmtId="49" xfId="0" applyAlignment="1" applyBorder="1" applyFont="1" applyNumberFormat="1">
      <alignment shrinkToFit="0" vertical="top" wrapText="1"/>
    </xf>
    <xf borderId="1" fillId="14" fontId="4" numFmtId="0" xfId="0" applyAlignment="1" applyBorder="1" applyFont="1">
      <alignment shrinkToFit="0" vertical="top" wrapText="1"/>
    </xf>
    <xf borderId="1" fillId="14" fontId="3" numFmtId="0" xfId="0" applyAlignment="1" applyBorder="1" applyFont="1">
      <alignment vertical="top"/>
    </xf>
    <xf borderId="1" fillId="14" fontId="4" numFmtId="164" xfId="0" applyAlignment="1" applyBorder="1" applyFont="1" applyNumberFormat="1">
      <alignment shrinkToFit="0" vertical="top" wrapText="1"/>
    </xf>
    <xf borderId="1" fillId="14" fontId="16" numFmtId="0" xfId="0" applyAlignment="1" applyBorder="1" applyFont="1">
      <alignment shrinkToFit="0" vertical="top" wrapText="1"/>
    </xf>
    <xf borderId="1" fillId="14" fontId="17" numFmtId="0" xfId="0" applyAlignment="1" applyBorder="1" applyFont="1">
      <alignment shrinkToFit="0" vertical="top" wrapText="1"/>
    </xf>
    <xf borderId="1" fillId="14" fontId="4" numFmtId="0" xfId="0" applyAlignment="1" applyBorder="1" applyFont="1">
      <alignment vertical="top"/>
    </xf>
    <xf borderId="1" fillId="15" fontId="4" numFmtId="165" xfId="0" applyAlignment="1" applyBorder="1" applyFill="1" applyFont="1" applyNumberFormat="1">
      <alignment shrinkToFit="0" vertical="top" wrapText="1"/>
    </xf>
    <xf borderId="1" fillId="15" fontId="4" numFmtId="164" xfId="0" applyAlignment="1" applyBorder="1" applyFont="1" applyNumberFormat="1">
      <alignment shrinkToFit="0" vertical="top" wrapText="1"/>
    </xf>
    <xf borderId="1" fillId="15" fontId="4" numFmtId="49" xfId="0" applyAlignment="1" applyBorder="1" applyFont="1" applyNumberFormat="1">
      <alignment shrinkToFit="0" vertical="top" wrapText="1"/>
    </xf>
    <xf borderId="1" fillId="15" fontId="4" numFmtId="0" xfId="0" applyAlignment="1" applyBorder="1" applyFont="1">
      <alignment shrinkToFit="0" vertical="top" wrapText="1"/>
    </xf>
    <xf borderId="1" fillId="15" fontId="3" numFmtId="0" xfId="0" applyAlignment="1" applyBorder="1" applyFont="1">
      <alignment vertical="top"/>
    </xf>
    <xf borderId="1" fillId="15" fontId="18" numFmtId="0" xfId="0" applyAlignment="1" applyBorder="1" applyFont="1">
      <alignment shrinkToFit="0" vertical="top" wrapText="1"/>
    </xf>
    <xf borderId="1" fillId="15" fontId="3" numFmtId="164" xfId="0" applyAlignment="1" applyBorder="1" applyFont="1" applyNumberFormat="1">
      <alignment vertical="top"/>
    </xf>
    <xf borderId="1" fillId="15" fontId="4" numFmtId="0" xfId="0" applyAlignment="1" applyBorder="1" applyFont="1">
      <alignment vertical="top"/>
    </xf>
    <xf borderId="1" fillId="15" fontId="9" numFmtId="0" xfId="0" applyAlignment="1" applyBorder="1" applyFont="1">
      <alignment vertical="top"/>
    </xf>
    <xf borderId="1" fillId="16" fontId="4" numFmtId="165" xfId="0" applyAlignment="1" applyBorder="1" applyFill="1" applyFont="1" applyNumberFormat="1">
      <alignment shrinkToFit="0" vertical="top" wrapText="1"/>
    </xf>
    <xf borderId="1" fillId="16" fontId="3" numFmtId="164" xfId="0" applyAlignment="1" applyBorder="1" applyFont="1" applyNumberFormat="1">
      <alignment vertical="top"/>
    </xf>
    <xf borderId="1" fillId="16" fontId="4" numFmtId="49" xfId="0" applyAlignment="1" applyBorder="1" applyFont="1" applyNumberFormat="1">
      <alignment shrinkToFit="0" vertical="top" wrapText="1"/>
    </xf>
    <xf borderId="1" fillId="16" fontId="4" numFmtId="0" xfId="0" applyAlignment="1" applyBorder="1" applyFont="1">
      <alignment vertical="top"/>
    </xf>
    <xf borderId="1" fillId="16" fontId="3" numFmtId="0" xfId="0" applyAlignment="1" applyBorder="1" applyFont="1">
      <alignment vertical="top"/>
    </xf>
    <xf borderId="1" fillId="16" fontId="4" numFmtId="0" xfId="0" applyAlignment="1" applyBorder="1" applyFont="1">
      <alignment shrinkToFit="0" vertical="top" wrapText="1"/>
    </xf>
    <xf borderId="1" fillId="17" fontId="19" numFmtId="0" xfId="0" applyAlignment="1" applyBorder="1" applyFill="1" applyFont="1">
      <alignment vertical="top"/>
    </xf>
    <xf borderId="1" fillId="16" fontId="4" numFmtId="164" xfId="0" applyAlignment="1" applyBorder="1" applyFont="1" applyNumberFormat="1">
      <alignment shrinkToFit="0" vertical="top" wrapText="1"/>
    </xf>
    <xf borderId="1" fillId="16" fontId="4" numFmtId="164" xfId="0" applyAlignment="1" applyBorder="1" applyFont="1" applyNumberFormat="1">
      <alignment vertical="top"/>
    </xf>
    <xf borderId="1" fillId="16" fontId="20" numFmtId="0" xfId="0" applyAlignment="1" applyBorder="1" applyFont="1">
      <alignment vertical="top"/>
    </xf>
    <xf borderId="1" fillId="3" fontId="4" numFmtId="164" xfId="0" applyAlignment="1" applyBorder="1" applyFont="1" applyNumberFormat="1">
      <alignment shrinkToFit="0" vertical="top" wrapText="1"/>
    </xf>
    <xf borderId="1" fillId="3" fontId="4" numFmtId="0" xfId="0" applyAlignment="1" applyBorder="1" applyFont="1">
      <alignment vertical="top"/>
    </xf>
    <xf borderId="1" fillId="3" fontId="9" numFmtId="0" xfId="0" applyAlignment="1" applyBorder="1" applyFont="1">
      <alignment vertical="top"/>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2EB"/>
          <bgColor rgb="FFF8F2EB"/>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Q78" displayName="Table_1" name="Table_1" id="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mailto:deena@extramiletutoring.com" TargetMode="External"/><Relationship Id="rId22" Type="http://schemas.openxmlformats.org/officeDocument/2006/relationships/hyperlink" Target="mailto:Ladip660@gmail.com" TargetMode="External"/><Relationship Id="rId21" Type="http://schemas.openxmlformats.org/officeDocument/2006/relationships/hyperlink" Target="https://docs.google.com/document/d/1zmHyOifDuJvXQ6iafLDTX4b3rGUUWOt2R8aC3dJrrcA/edit?tab=t.0" TargetMode="External"/><Relationship Id="rId24" Type="http://schemas.openxmlformats.org/officeDocument/2006/relationships/hyperlink" Target="https://docs.google.com/document/d/1yMZNoSFvZ8L7dgvHRSnEwFhPtrDyyxAn7zZiK9EPMgQ/edit?tab=t.0" TargetMode="External"/><Relationship Id="rId23" Type="http://schemas.openxmlformats.org/officeDocument/2006/relationships/hyperlink" Target="mailto:beth.newton@troutman.com" TargetMode="External"/><Relationship Id="rId1" Type="http://schemas.openxmlformats.org/officeDocument/2006/relationships/hyperlink" Target="https://docs.google.com/document/d/1HpYIIPY2CD8uYDGm30kkAfqZlH6HN89_rszGUwb1CzE/edit?tab=t.0" TargetMode="External"/><Relationship Id="rId2" Type="http://schemas.openxmlformats.org/officeDocument/2006/relationships/hyperlink" Target="https://docs.google.com/document/d/1ayYwBM8xCklV7lgBJhqNTmQVGtflRtWNibXcZ096eMI/edit?tab=t.0" TargetMode="External"/><Relationship Id="rId3" Type="http://schemas.openxmlformats.org/officeDocument/2006/relationships/hyperlink" Target="https://docs.google.com/document/d/1XrVK1wd5ECdOei6Nlw1TnUNTnw5VEjbWA_AzyGASp84/edit?tab=t.0+" TargetMode="External"/><Relationship Id="rId4" Type="http://schemas.openxmlformats.org/officeDocument/2006/relationships/hyperlink" Target="https://docs.google.com/document/d/16PyNviE79vdo1NzAhemadfFKEhog2epDw6sSuWyOgag/edit?tab=t.0" TargetMode="External"/><Relationship Id="rId9" Type="http://schemas.openxmlformats.org/officeDocument/2006/relationships/hyperlink" Target="https://docs.google.com/document/d/1V2O3dS8WfoZAmafeLVhllRhGi1vwRUMudEgxrhQu-l0/edit?tab=t.0" TargetMode="External"/><Relationship Id="rId26" Type="http://schemas.openxmlformats.org/officeDocument/2006/relationships/hyperlink" Target="https://www.google.com/maps/search/1105+W+Peachtree+St+NW,+Atlanta,+GA+30309?entry=gmail&amp;source=g" TargetMode="External"/><Relationship Id="rId25" Type="http://schemas.openxmlformats.org/officeDocument/2006/relationships/hyperlink" Target="https://docs.google.com/document/d/1HSsdPSWPvZZFvjsqGMOC6szm7L3aRNwxf0QbpEYfvss/edit?tab=t.0" TargetMode="External"/><Relationship Id="rId27" Type="http://schemas.openxmlformats.org/officeDocument/2006/relationships/drawing" Target="../drawings/drawing1.xml"/><Relationship Id="rId5" Type="http://schemas.openxmlformats.org/officeDocument/2006/relationships/hyperlink" Target="mailto:jgpatel06@gmail.com" TargetMode="External"/><Relationship Id="rId6" Type="http://schemas.openxmlformats.org/officeDocument/2006/relationships/hyperlink" Target="mailto:mst.hilaire@seyfarth.com" TargetMode="External"/><Relationship Id="rId29" Type="http://schemas.openxmlformats.org/officeDocument/2006/relationships/table" Target="../tables/table1.xml"/><Relationship Id="rId7" Type="http://schemas.openxmlformats.org/officeDocument/2006/relationships/hyperlink" Target="https://docs.google.com/document/d/1jluNJx3zXn0ZbfMO_qnJCydgLaYJoGGCLvZGdi-2blk/edit?tab=t.0" TargetMode="External"/><Relationship Id="rId8" Type="http://schemas.openxmlformats.org/officeDocument/2006/relationships/hyperlink" Target="https://docs.google.com/document/d/1UvoCxPdO0ecW092lJxhTkjV_7oZSz_fh-OHV47LK1wY/edit?tab=t.0" TargetMode="External"/><Relationship Id="rId11" Type="http://schemas.openxmlformats.org/officeDocument/2006/relationships/hyperlink" Target="https://docs.google.com/document/d/1bzcsdO98Ct-IjZBd_M0kLUvvHg5HXi7lDSJ7UsfUor0/edit?tab=t.0" TargetMode="External"/><Relationship Id="rId10" Type="http://schemas.openxmlformats.org/officeDocument/2006/relationships/hyperlink" Target="https://docs.google.com/document/d/1q0xaDk1kfcaW2I0YX-xBOox7zSmc0FJFiiwQM7t-Kp0/edit?tab=t.0" TargetMode="External"/><Relationship Id="rId13" Type="http://schemas.openxmlformats.org/officeDocument/2006/relationships/hyperlink" Target="https://docs.google.com/document/d/1YczdFB6k3V-4onJsNsbtVWPpWQHXErVmFJI20sez3yM/edit?tab=t.0" TargetMode="External"/><Relationship Id="rId12" Type="http://schemas.openxmlformats.org/officeDocument/2006/relationships/hyperlink" Target="https://docs.google.com/document/d/1EWvjoqeNbMSBd3tXKVm1R5rge6jodplLVxv9J8_38Ws/edit?tab=t.0" TargetMode="External"/><Relationship Id="rId15" Type="http://schemas.openxmlformats.org/officeDocument/2006/relationships/hyperlink" Target="https://docs.google.com/document/d/1lnID0FikIG57E0vA7UmwFHHSyGM4gMgX6s84CCjO4pA/edit?tab=t.0" TargetMode="External"/><Relationship Id="rId14" Type="http://schemas.openxmlformats.org/officeDocument/2006/relationships/hyperlink" Target="https://docs.google.com/document/d/13XX-jmHuEa6_MCBbif-dTTz-QET4lSnDiyfxp6fOsJU/edit?tab=t.0" TargetMode="External"/><Relationship Id="rId17" Type="http://schemas.openxmlformats.org/officeDocument/2006/relationships/hyperlink" Target="https://docs.google.com/document/d/1FIdLvvOObqhCLlS9WnI3VQlDM8X1Qh0aoxm93ovTlRo/edit?tab=t.0" TargetMode="External"/><Relationship Id="rId16" Type="http://schemas.openxmlformats.org/officeDocument/2006/relationships/hyperlink" Target="https://docs.google.com/document/d/10QpbR_KZbiyd_yGDMNC1yV5DrGxWCGjgQGHjhbFb1nU/edit?tab=t.0" TargetMode="External"/><Relationship Id="rId19" Type="http://schemas.openxmlformats.org/officeDocument/2006/relationships/hyperlink" Target="https://docs.google.com/document/d/1iIu7LNP-QwFrx8U1lXy5i8ZjdTXSvek9jAHvZsLLhZs/edit?tab=t.0" TargetMode="External"/><Relationship Id="rId18" Type="http://schemas.openxmlformats.org/officeDocument/2006/relationships/hyperlink" Target="mailto:morgan@allsoulsfellowship.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3" t="s">
        <v>4</v>
      </c>
      <c r="F1" s="4" t="s">
        <v>5</v>
      </c>
      <c r="G1" s="4" t="s">
        <v>6</v>
      </c>
      <c r="H1" s="4" t="s">
        <v>7</v>
      </c>
      <c r="I1" s="4" t="s">
        <v>8</v>
      </c>
      <c r="J1" s="4" t="s">
        <v>9</v>
      </c>
      <c r="K1" s="4" t="s">
        <v>10</v>
      </c>
      <c r="L1" s="4" t="s">
        <v>11</v>
      </c>
      <c r="M1" s="4" t="s">
        <v>12</v>
      </c>
      <c r="N1" s="4" t="s">
        <v>13</v>
      </c>
      <c r="O1" s="4" t="s">
        <v>14</v>
      </c>
      <c r="P1" s="4" t="s">
        <v>15</v>
      </c>
      <c r="Q1" s="4" t="s">
        <v>16</v>
      </c>
      <c r="R1" s="5"/>
      <c r="S1" s="5"/>
      <c r="T1" s="5"/>
      <c r="U1" s="5"/>
      <c r="V1" s="5"/>
      <c r="W1" s="5"/>
      <c r="X1" s="5"/>
      <c r="Y1" s="5"/>
      <c r="Z1" s="5"/>
      <c r="AA1" s="5"/>
      <c r="AB1" s="5"/>
      <c r="AC1" s="5"/>
    </row>
    <row r="2">
      <c r="A2" s="6">
        <v>45748.0</v>
      </c>
      <c r="B2" s="7"/>
      <c r="C2" s="7"/>
      <c r="D2" s="7"/>
      <c r="E2" s="8" t="s">
        <v>17</v>
      </c>
      <c r="F2" s="9"/>
      <c r="G2" s="9"/>
      <c r="H2" s="10" t="s">
        <v>18</v>
      </c>
      <c r="I2" s="10">
        <v>300.0</v>
      </c>
      <c r="J2" s="10" t="s">
        <v>19</v>
      </c>
      <c r="K2" s="10" t="s">
        <v>20</v>
      </c>
      <c r="L2" s="10" t="s">
        <v>21</v>
      </c>
      <c r="M2" s="10" t="s">
        <v>22</v>
      </c>
      <c r="N2" s="10" t="s">
        <v>23</v>
      </c>
      <c r="O2" s="10" t="s">
        <v>24</v>
      </c>
      <c r="P2" s="9"/>
      <c r="Q2" s="9"/>
    </row>
    <row r="3">
      <c r="A3" s="11">
        <v>45749.0</v>
      </c>
      <c r="B3" s="12"/>
      <c r="C3" s="12"/>
      <c r="D3" s="12"/>
      <c r="E3" s="13" t="s">
        <v>25</v>
      </c>
      <c r="F3" s="14"/>
      <c r="G3" s="14"/>
      <c r="H3" s="15" t="s">
        <v>26</v>
      </c>
      <c r="I3" s="14"/>
      <c r="J3" s="14"/>
      <c r="K3" s="15" t="s">
        <v>20</v>
      </c>
      <c r="L3" s="15" t="s">
        <v>27</v>
      </c>
      <c r="M3" s="15" t="s">
        <v>28</v>
      </c>
      <c r="N3" s="15" t="s">
        <v>29</v>
      </c>
      <c r="O3" s="15" t="s">
        <v>30</v>
      </c>
      <c r="P3" s="15" t="s">
        <v>31</v>
      </c>
      <c r="Q3" s="14"/>
    </row>
    <row r="4">
      <c r="A4" s="11">
        <v>45753.0</v>
      </c>
      <c r="B4" s="12"/>
      <c r="C4" s="12"/>
      <c r="D4" s="12"/>
      <c r="E4" s="13" t="s">
        <v>32</v>
      </c>
      <c r="F4" s="14"/>
      <c r="G4" s="14"/>
      <c r="H4" s="15" t="s">
        <v>33</v>
      </c>
      <c r="I4" s="14"/>
      <c r="J4" s="14"/>
      <c r="K4" s="15" t="s">
        <v>20</v>
      </c>
      <c r="L4" s="15" t="s">
        <v>34</v>
      </c>
      <c r="M4" s="15" t="s">
        <v>35</v>
      </c>
      <c r="N4" s="15" t="s">
        <v>36</v>
      </c>
      <c r="O4" s="15" t="s">
        <v>30</v>
      </c>
      <c r="P4" s="15" t="s">
        <v>37</v>
      </c>
      <c r="Q4" s="14"/>
    </row>
    <row r="5">
      <c r="A5" s="16">
        <v>45755.0</v>
      </c>
      <c r="B5" s="17"/>
      <c r="C5" s="17"/>
      <c r="D5" s="17"/>
      <c r="E5" s="18" t="s">
        <v>38</v>
      </c>
      <c r="F5" s="19"/>
      <c r="G5" s="19"/>
      <c r="H5" s="20" t="s">
        <v>39</v>
      </c>
      <c r="I5" s="20">
        <v>153.0</v>
      </c>
      <c r="J5" s="20" t="s">
        <v>19</v>
      </c>
      <c r="K5" s="20" t="s">
        <v>20</v>
      </c>
      <c r="L5" s="19"/>
      <c r="M5" s="20" t="s">
        <v>40</v>
      </c>
      <c r="N5" s="20" t="s">
        <v>41</v>
      </c>
      <c r="O5" s="20" t="s">
        <v>42</v>
      </c>
      <c r="P5" s="19"/>
      <c r="Q5" s="19"/>
    </row>
    <row r="6">
      <c r="A6" s="21">
        <v>45756.0</v>
      </c>
      <c r="B6" s="17"/>
      <c r="C6" s="17"/>
      <c r="D6" s="17"/>
      <c r="E6" s="22"/>
      <c r="F6" s="19"/>
      <c r="G6" s="19"/>
      <c r="H6" s="23" t="s">
        <v>43</v>
      </c>
      <c r="I6" s="19"/>
      <c r="J6" s="19"/>
      <c r="K6" s="19"/>
      <c r="L6" s="19"/>
      <c r="M6" s="19"/>
      <c r="N6" s="19"/>
      <c r="O6" s="19"/>
      <c r="P6" s="19"/>
      <c r="Q6" s="19"/>
    </row>
    <row r="7">
      <c r="A7" s="16">
        <v>45759.0</v>
      </c>
      <c r="B7" s="17"/>
      <c r="C7" s="17"/>
      <c r="D7" s="17"/>
      <c r="E7" s="18" t="s">
        <v>44</v>
      </c>
      <c r="F7" s="20" t="s">
        <v>45</v>
      </c>
      <c r="G7" s="19"/>
      <c r="H7" s="20" t="s">
        <v>46</v>
      </c>
      <c r="I7" s="20">
        <v>200.0</v>
      </c>
      <c r="J7" s="20" t="s">
        <v>47</v>
      </c>
      <c r="K7" s="20" t="s">
        <v>20</v>
      </c>
      <c r="L7" s="19"/>
      <c r="M7" s="20" t="s">
        <v>48</v>
      </c>
      <c r="N7" s="19"/>
      <c r="O7" s="20" t="s">
        <v>42</v>
      </c>
      <c r="P7" s="19"/>
      <c r="Q7" s="19"/>
    </row>
    <row r="8">
      <c r="A8" s="16">
        <v>45759.0</v>
      </c>
      <c r="B8" s="17"/>
      <c r="C8" s="17"/>
      <c r="D8" s="17"/>
      <c r="E8" s="18" t="s">
        <v>49</v>
      </c>
      <c r="F8" s="20" t="s">
        <v>45</v>
      </c>
      <c r="G8" s="19"/>
      <c r="H8" s="20" t="s">
        <v>50</v>
      </c>
      <c r="I8" s="20">
        <v>800.0</v>
      </c>
      <c r="J8" s="20" t="s">
        <v>47</v>
      </c>
      <c r="K8" s="20" t="s">
        <v>20</v>
      </c>
      <c r="L8" s="20" t="s">
        <v>51</v>
      </c>
      <c r="M8" s="20" t="s">
        <v>52</v>
      </c>
      <c r="N8" s="20" t="s">
        <v>53</v>
      </c>
      <c r="O8" s="20" t="s">
        <v>54</v>
      </c>
      <c r="P8" s="20" t="s">
        <v>55</v>
      </c>
      <c r="Q8" s="24" t="s">
        <v>56</v>
      </c>
    </row>
    <row r="9">
      <c r="A9" s="16">
        <v>45761.0</v>
      </c>
      <c r="B9" s="17"/>
      <c r="C9" s="17"/>
      <c r="D9" s="17"/>
      <c r="E9" s="25" t="s">
        <v>57</v>
      </c>
      <c r="F9" s="20" t="s">
        <v>45</v>
      </c>
      <c r="G9" s="19"/>
      <c r="H9" s="20" t="s">
        <v>58</v>
      </c>
      <c r="I9" s="20">
        <v>350.0</v>
      </c>
      <c r="J9" s="20" t="s">
        <v>59</v>
      </c>
      <c r="K9" s="20" t="s">
        <v>20</v>
      </c>
      <c r="L9" s="20" t="s">
        <v>60</v>
      </c>
      <c r="M9" s="20" t="s">
        <v>61</v>
      </c>
      <c r="N9" s="20" t="s">
        <v>62</v>
      </c>
      <c r="O9" s="20" t="s">
        <v>63</v>
      </c>
      <c r="P9" s="20" t="s">
        <v>64</v>
      </c>
      <c r="Q9" s="19"/>
    </row>
    <row r="10">
      <c r="A10" s="16">
        <v>45762.0</v>
      </c>
      <c r="B10" s="17"/>
      <c r="C10" s="17"/>
      <c r="D10" s="17"/>
      <c r="E10" s="18" t="s">
        <v>65</v>
      </c>
      <c r="F10" s="20" t="s">
        <v>45</v>
      </c>
      <c r="G10" s="19"/>
      <c r="H10" s="20" t="s">
        <v>66</v>
      </c>
      <c r="I10" s="20">
        <v>700.0</v>
      </c>
      <c r="J10" s="20" t="s">
        <v>19</v>
      </c>
      <c r="K10" s="20" t="s">
        <v>20</v>
      </c>
      <c r="L10" s="20" t="s">
        <v>67</v>
      </c>
      <c r="M10" s="20" t="s">
        <v>68</v>
      </c>
      <c r="N10" s="20" t="s">
        <v>69</v>
      </c>
      <c r="O10" s="20" t="s">
        <v>30</v>
      </c>
      <c r="P10" s="20" t="s">
        <v>70</v>
      </c>
      <c r="Q10" s="19"/>
    </row>
    <row r="11">
      <c r="A11" s="16">
        <v>45762.0</v>
      </c>
      <c r="B11" s="17"/>
      <c r="C11" s="17"/>
      <c r="D11" s="17"/>
      <c r="E11" s="18" t="s">
        <v>71</v>
      </c>
      <c r="F11" s="20" t="s">
        <v>45</v>
      </c>
      <c r="G11" s="19"/>
      <c r="H11" s="20" t="s">
        <v>72</v>
      </c>
      <c r="I11" s="20">
        <v>400.0</v>
      </c>
      <c r="J11" s="20" t="s">
        <v>19</v>
      </c>
      <c r="K11" s="20" t="s">
        <v>20</v>
      </c>
      <c r="L11" s="20" t="s">
        <v>73</v>
      </c>
      <c r="M11" s="20" t="s">
        <v>74</v>
      </c>
      <c r="N11" s="20" t="s">
        <v>75</v>
      </c>
      <c r="O11" s="20" t="s">
        <v>76</v>
      </c>
      <c r="P11" s="20" t="s">
        <v>77</v>
      </c>
      <c r="Q11" s="19"/>
    </row>
    <row r="12">
      <c r="A12" s="26">
        <v>45764.0</v>
      </c>
      <c r="B12" s="27"/>
      <c r="C12" s="27"/>
      <c r="D12" s="27"/>
      <c r="E12" s="28" t="s">
        <v>78</v>
      </c>
      <c r="F12" s="29"/>
      <c r="G12" s="29"/>
      <c r="H12" s="30" t="s">
        <v>79</v>
      </c>
      <c r="I12" s="29"/>
      <c r="J12" s="30" t="s">
        <v>80</v>
      </c>
      <c r="K12" s="30" t="s">
        <v>81</v>
      </c>
      <c r="L12" s="30" t="s">
        <v>82</v>
      </c>
      <c r="M12" s="30" t="s">
        <v>83</v>
      </c>
      <c r="N12" s="30" t="s">
        <v>84</v>
      </c>
      <c r="O12" s="30" t="s">
        <v>85</v>
      </c>
      <c r="P12" s="29"/>
      <c r="Q12" s="29"/>
    </row>
    <row r="13">
      <c r="A13" s="31">
        <v>45765.0</v>
      </c>
      <c r="B13" s="27"/>
      <c r="C13" s="27"/>
      <c r="D13" s="27"/>
      <c r="E13" s="32" t="s">
        <v>86</v>
      </c>
      <c r="F13" s="33" t="s">
        <v>87</v>
      </c>
      <c r="G13" s="29"/>
      <c r="H13" s="33" t="s">
        <v>88</v>
      </c>
      <c r="I13" s="33">
        <v>200.0</v>
      </c>
      <c r="J13" s="33" t="s">
        <v>89</v>
      </c>
      <c r="K13" s="33" t="s">
        <v>20</v>
      </c>
      <c r="L13" s="33" t="s">
        <v>90</v>
      </c>
      <c r="M13" s="33" t="s">
        <v>91</v>
      </c>
      <c r="N13" s="34" t="s">
        <v>92</v>
      </c>
      <c r="O13" s="33" t="s">
        <v>85</v>
      </c>
      <c r="P13" s="33" t="s">
        <v>93</v>
      </c>
      <c r="Q13" s="35" t="s">
        <v>94</v>
      </c>
    </row>
    <row r="14">
      <c r="A14" s="31">
        <v>45766.0</v>
      </c>
      <c r="B14" s="27"/>
      <c r="C14" s="27"/>
      <c r="D14" s="27"/>
      <c r="E14" s="32" t="s">
        <v>95</v>
      </c>
      <c r="F14" s="33" t="s">
        <v>87</v>
      </c>
      <c r="G14" s="29"/>
      <c r="H14" s="33" t="s">
        <v>96</v>
      </c>
      <c r="I14" s="33">
        <v>200.0</v>
      </c>
      <c r="J14" s="33" t="s">
        <v>47</v>
      </c>
      <c r="K14" s="33" t="s">
        <v>20</v>
      </c>
      <c r="L14" s="33" t="s">
        <v>97</v>
      </c>
      <c r="M14" s="33" t="s">
        <v>98</v>
      </c>
      <c r="N14" s="34" t="s">
        <v>99</v>
      </c>
      <c r="O14" s="33" t="s">
        <v>100</v>
      </c>
      <c r="P14" s="33" t="s">
        <v>101</v>
      </c>
      <c r="Q14" s="29"/>
    </row>
    <row r="15">
      <c r="A15" s="31">
        <v>45766.0</v>
      </c>
      <c r="B15" s="27"/>
      <c r="C15" s="27"/>
      <c r="D15" s="27"/>
      <c r="E15" s="32" t="s">
        <v>102</v>
      </c>
      <c r="F15" s="33" t="s">
        <v>45</v>
      </c>
      <c r="G15" s="29"/>
      <c r="H15" s="33" t="s">
        <v>103</v>
      </c>
      <c r="I15" s="33">
        <v>100.0</v>
      </c>
      <c r="J15" s="33" t="s">
        <v>47</v>
      </c>
      <c r="K15" s="33" t="s">
        <v>20</v>
      </c>
      <c r="L15" s="33" t="s">
        <v>104</v>
      </c>
      <c r="M15" s="33" t="s">
        <v>105</v>
      </c>
      <c r="N15" s="34" t="s">
        <v>106</v>
      </c>
      <c r="O15" s="33" t="s">
        <v>30</v>
      </c>
      <c r="P15" s="33" t="s">
        <v>107</v>
      </c>
      <c r="Q15" s="29"/>
    </row>
    <row r="16">
      <c r="A16" s="31">
        <v>45767.0</v>
      </c>
      <c r="B16" s="27"/>
      <c r="C16" s="27"/>
      <c r="D16" s="27"/>
      <c r="E16" s="32" t="s">
        <v>108</v>
      </c>
      <c r="F16" s="33" t="s">
        <v>45</v>
      </c>
      <c r="G16" s="29"/>
      <c r="H16" s="33" t="s">
        <v>109</v>
      </c>
      <c r="I16" s="33">
        <v>150.0</v>
      </c>
      <c r="J16" s="33" t="s">
        <v>110</v>
      </c>
      <c r="K16" s="33" t="s">
        <v>20</v>
      </c>
      <c r="L16" s="33" t="s">
        <v>111</v>
      </c>
      <c r="M16" s="33" t="s">
        <v>112</v>
      </c>
      <c r="N16" s="33" t="s">
        <v>113</v>
      </c>
      <c r="O16" s="33" t="s">
        <v>30</v>
      </c>
      <c r="P16" s="33" t="s">
        <v>114</v>
      </c>
      <c r="Q16" s="29"/>
    </row>
    <row r="17">
      <c r="A17" s="31">
        <v>45768.0</v>
      </c>
      <c r="B17" s="27"/>
      <c r="C17" s="27"/>
      <c r="D17" s="27"/>
      <c r="E17" s="32" t="s">
        <v>115</v>
      </c>
      <c r="F17" s="33" t="s">
        <v>45</v>
      </c>
      <c r="G17" s="29"/>
      <c r="H17" s="33" t="s">
        <v>116</v>
      </c>
      <c r="I17" s="33">
        <v>150.0</v>
      </c>
      <c r="J17" s="33" t="s">
        <v>59</v>
      </c>
      <c r="K17" s="33" t="s">
        <v>20</v>
      </c>
      <c r="L17" s="33" t="s">
        <v>117</v>
      </c>
      <c r="M17" s="33" t="s">
        <v>118</v>
      </c>
      <c r="N17" s="29"/>
      <c r="O17" s="33" t="s">
        <v>119</v>
      </c>
      <c r="P17" s="29"/>
      <c r="Q17" s="29"/>
    </row>
    <row r="18">
      <c r="A18" s="31">
        <v>45768.0</v>
      </c>
      <c r="B18" s="27"/>
      <c r="C18" s="27"/>
      <c r="D18" s="27"/>
      <c r="E18" s="32" t="s">
        <v>120</v>
      </c>
      <c r="F18" s="29"/>
      <c r="G18" s="29"/>
      <c r="H18" s="33" t="s">
        <v>121</v>
      </c>
      <c r="I18" s="33">
        <v>200.0</v>
      </c>
      <c r="J18" s="33" t="s">
        <v>59</v>
      </c>
      <c r="K18" s="33" t="s">
        <v>20</v>
      </c>
      <c r="L18" s="29"/>
      <c r="M18" s="33" t="s">
        <v>122</v>
      </c>
      <c r="N18" s="33" t="s">
        <v>123</v>
      </c>
      <c r="O18" s="33" t="s">
        <v>24</v>
      </c>
      <c r="P18" s="29"/>
      <c r="Q18" s="29"/>
    </row>
    <row r="19">
      <c r="A19" s="31">
        <v>45768.0</v>
      </c>
      <c r="B19" s="27"/>
      <c r="C19" s="27"/>
      <c r="D19" s="27"/>
      <c r="E19" s="32" t="s">
        <v>124</v>
      </c>
      <c r="F19" s="29"/>
      <c r="G19" s="29"/>
      <c r="H19" s="33" t="s">
        <v>125</v>
      </c>
      <c r="I19" s="33">
        <v>200.0</v>
      </c>
      <c r="J19" s="33" t="s">
        <v>59</v>
      </c>
      <c r="K19" s="33" t="s">
        <v>20</v>
      </c>
      <c r="L19" s="33" t="s">
        <v>126</v>
      </c>
      <c r="M19" s="33" t="s">
        <v>127</v>
      </c>
      <c r="N19" s="33" t="s">
        <v>128</v>
      </c>
      <c r="O19" s="33" t="s">
        <v>30</v>
      </c>
      <c r="P19" s="29"/>
      <c r="Q19" s="29"/>
    </row>
    <row r="20">
      <c r="A20" s="31">
        <v>45768.0</v>
      </c>
      <c r="B20" s="27"/>
      <c r="C20" s="27"/>
      <c r="D20" s="27"/>
      <c r="E20" s="32" t="s">
        <v>129</v>
      </c>
      <c r="F20" s="33" t="s">
        <v>130</v>
      </c>
      <c r="G20" s="29"/>
      <c r="H20" s="33" t="s">
        <v>131</v>
      </c>
      <c r="I20" s="33">
        <v>200.0</v>
      </c>
      <c r="J20" s="33" t="s">
        <v>59</v>
      </c>
      <c r="K20" s="33" t="s">
        <v>20</v>
      </c>
      <c r="L20" s="33" t="s">
        <v>132</v>
      </c>
      <c r="M20" s="33" t="s">
        <v>133</v>
      </c>
      <c r="N20" s="36" t="s">
        <v>134</v>
      </c>
      <c r="O20" s="33" t="s">
        <v>30</v>
      </c>
      <c r="P20" s="33" t="s">
        <v>135</v>
      </c>
      <c r="Q20" s="29"/>
    </row>
    <row r="21">
      <c r="A21" s="31">
        <v>45769.0</v>
      </c>
      <c r="B21" s="27"/>
      <c r="C21" s="27"/>
      <c r="D21" s="27"/>
      <c r="E21" s="32" t="s">
        <v>136</v>
      </c>
      <c r="F21" s="33" t="s">
        <v>87</v>
      </c>
      <c r="G21" s="29"/>
      <c r="H21" s="33" t="s">
        <v>137</v>
      </c>
      <c r="I21" s="33">
        <v>400.0</v>
      </c>
      <c r="J21" s="33" t="s">
        <v>19</v>
      </c>
      <c r="K21" s="33" t="s">
        <v>20</v>
      </c>
      <c r="L21" s="33" t="s">
        <v>138</v>
      </c>
      <c r="M21" s="33" t="s">
        <v>139</v>
      </c>
      <c r="N21" s="33" t="s">
        <v>140</v>
      </c>
      <c r="O21" s="33" t="s">
        <v>141</v>
      </c>
      <c r="P21" s="29"/>
      <c r="Q21" s="29"/>
    </row>
    <row r="22">
      <c r="A22" s="31">
        <v>45769.0</v>
      </c>
      <c r="B22" s="27"/>
      <c r="C22" s="27"/>
      <c r="D22" s="27"/>
      <c r="E22" s="32" t="s">
        <v>142</v>
      </c>
      <c r="F22" s="33" t="s">
        <v>45</v>
      </c>
      <c r="G22" s="29"/>
      <c r="H22" s="33" t="s">
        <v>143</v>
      </c>
      <c r="I22" s="33">
        <v>400.0</v>
      </c>
      <c r="J22" s="33" t="s">
        <v>19</v>
      </c>
      <c r="K22" s="33" t="s">
        <v>20</v>
      </c>
      <c r="L22" s="33" t="s">
        <v>144</v>
      </c>
      <c r="M22" s="33" t="s">
        <v>145</v>
      </c>
      <c r="N22" s="33" t="s">
        <v>146</v>
      </c>
      <c r="O22" s="33" t="s">
        <v>30</v>
      </c>
      <c r="P22" s="33" t="s">
        <v>147</v>
      </c>
      <c r="Q22" s="29"/>
    </row>
    <row r="23">
      <c r="A23" s="31">
        <v>45770.0</v>
      </c>
      <c r="B23" s="37">
        <v>0.3958333333333333</v>
      </c>
      <c r="C23" s="37">
        <v>0.4791666666666667</v>
      </c>
      <c r="D23" s="37">
        <v>0.5</v>
      </c>
      <c r="E23" s="32" t="s">
        <v>148</v>
      </c>
      <c r="F23" s="33" t="s">
        <v>45</v>
      </c>
      <c r="G23" s="29"/>
      <c r="H23" s="33" t="s">
        <v>149</v>
      </c>
      <c r="I23" s="33">
        <v>300.0</v>
      </c>
      <c r="J23" s="33" t="s">
        <v>150</v>
      </c>
      <c r="K23" s="33" t="s">
        <v>20</v>
      </c>
      <c r="L23" s="33" t="s">
        <v>151</v>
      </c>
      <c r="M23" s="33" t="s">
        <v>152</v>
      </c>
      <c r="N23" s="33" t="s">
        <v>153</v>
      </c>
      <c r="O23" s="33" t="s">
        <v>85</v>
      </c>
      <c r="P23" s="34" t="s">
        <v>154</v>
      </c>
      <c r="Q23" s="29"/>
    </row>
    <row r="24">
      <c r="A24" s="31">
        <v>45770.0</v>
      </c>
      <c r="B24" s="27"/>
      <c r="C24" s="27"/>
      <c r="D24" s="27"/>
      <c r="E24" s="32" t="s">
        <v>155</v>
      </c>
      <c r="F24" s="33" t="s">
        <v>45</v>
      </c>
      <c r="G24" s="29"/>
      <c r="H24" s="33" t="s">
        <v>156</v>
      </c>
      <c r="I24" s="33">
        <v>540.0</v>
      </c>
      <c r="J24" s="33" t="s">
        <v>150</v>
      </c>
      <c r="K24" s="29"/>
      <c r="L24" s="29"/>
      <c r="M24" s="29"/>
      <c r="N24" s="29"/>
      <c r="O24" s="29"/>
      <c r="P24" s="29"/>
      <c r="Q24" s="29"/>
    </row>
    <row r="25">
      <c r="A25" s="31">
        <v>45770.0</v>
      </c>
      <c r="B25" s="27"/>
      <c r="C25" s="27"/>
      <c r="D25" s="27"/>
      <c r="E25" s="29"/>
      <c r="F25" s="33" t="s">
        <v>45</v>
      </c>
      <c r="G25" s="29"/>
      <c r="H25" s="33" t="s">
        <v>157</v>
      </c>
      <c r="I25" s="33">
        <v>200.0</v>
      </c>
      <c r="J25" s="33" t="s">
        <v>150</v>
      </c>
      <c r="K25" s="33" t="s">
        <v>20</v>
      </c>
      <c r="L25" s="33" t="s">
        <v>158</v>
      </c>
      <c r="M25" s="33" t="s">
        <v>159</v>
      </c>
      <c r="N25" s="33" t="s">
        <v>160</v>
      </c>
      <c r="O25" s="33" t="s">
        <v>161</v>
      </c>
      <c r="P25" s="33" t="s">
        <v>162</v>
      </c>
      <c r="Q25" s="35" t="s">
        <v>163</v>
      </c>
    </row>
    <row r="26">
      <c r="A26" s="38"/>
      <c r="B26" s="39"/>
      <c r="C26" s="39"/>
      <c r="D26" s="39"/>
      <c r="E26" s="40"/>
      <c r="F26" s="40"/>
      <c r="G26" s="40"/>
      <c r="H26" s="40"/>
      <c r="I26" s="40"/>
      <c r="J26" s="40"/>
      <c r="K26" s="40"/>
      <c r="L26" s="40"/>
      <c r="M26" s="40"/>
      <c r="N26" s="40"/>
      <c r="O26" s="40"/>
      <c r="P26" s="40"/>
      <c r="Q26" s="40"/>
    </row>
    <row r="27">
      <c r="A27" s="41">
        <v>45771.0</v>
      </c>
      <c r="B27" s="39"/>
      <c r="C27" s="39"/>
      <c r="D27" s="39"/>
      <c r="E27" s="42" t="s">
        <v>164</v>
      </c>
      <c r="F27" s="42" t="s">
        <v>45</v>
      </c>
      <c r="G27" s="40"/>
      <c r="H27" s="42" t="s">
        <v>165</v>
      </c>
      <c r="I27" s="42">
        <v>400.0</v>
      </c>
      <c r="J27" s="42" t="s">
        <v>80</v>
      </c>
      <c r="K27" s="42" t="s">
        <v>20</v>
      </c>
      <c r="L27" s="42" t="s">
        <v>166</v>
      </c>
      <c r="M27" s="42" t="s">
        <v>167</v>
      </c>
      <c r="N27" s="42">
        <f>+14073253789</f>
        <v>14073253789</v>
      </c>
      <c r="O27" s="40"/>
      <c r="P27" s="42" t="s">
        <v>168</v>
      </c>
      <c r="Q27" s="43" t="s">
        <v>169</v>
      </c>
    </row>
    <row r="28">
      <c r="A28" s="41">
        <v>45774.0</v>
      </c>
      <c r="B28" s="39"/>
      <c r="C28" s="39"/>
      <c r="D28" s="39"/>
      <c r="E28" s="42" t="s">
        <v>170</v>
      </c>
      <c r="F28" s="42" t="s">
        <v>45</v>
      </c>
      <c r="G28" s="40"/>
      <c r="H28" s="42" t="s">
        <v>171</v>
      </c>
      <c r="I28" s="42">
        <v>1000.0</v>
      </c>
      <c r="J28" s="42" t="s">
        <v>110</v>
      </c>
      <c r="K28" s="42" t="s">
        <v>20</v>
      </c>
      <c r="L28" s="43" t="s">
        <v>172</v>
      </c>
      <c r="M28" s="42" t="s">
        <v>173</v>
      </c>
      <c r="N28" s="42" t="s">
        <v>174</v>
      </c>
      <c r="O28" s="42" t="s">
        <v>30</v>
      </c>
      <c r="P28" s="42" t="s">
        <v>175</v>
      </c>
      <c r="Q28" s="40"/>
    </row>
    <row r="29">
      <c r="A29" s="41">
        <v>45776.0</v>
      </c>
      <c r="B29" s="39"/>
      <c r="C29" s="39"/>
      <c r="D29" s="39"/>
      <c r="E29" s="42" t="s">
        <v>176</v>
      </c>
      <c r="F29" s="42" t="s">
        <v>45</v>
      </c>
      <c r="G29" s="40"/>
      <c r="H29" s="42" t="s">
        <v>177</v>
      </c>
      <c r="I29" s="42">
        <v>200.0</v>
      </c>
      <c r="J29" s="42" t="s">
        <v>178</v>
      </c>
      <c r="K29" s="42" t="s">
        <v>20</v>
      </c>
      <c r="L29" s="42" t="s">
        <v>179</v>
      </c>
      <c r="M29" s="42" t="s">
        <v>112</v>
      </c>
      <c r="N29" s="42" t="s">
        <v>180</v>
      </c>
      <c r="O29" s="42" t="s">
        <v>54</v>
      </c>
      <c r="P29" s="42" t="s">
        <v>181</v>
      </c>
      <c r="Q29" s="40"/>
    </row>
    <row r="30">
      <c r="A30" s="41">
        <v>45777.0</v>
      </c>
      <c r="B30" s="39"/>
      <c r="C30" s="39"/>
      <c r="D30" s="39"/>
      <c r="E30" s="42" t="s">
        <v>182</v>
      </c>
      <c r="F30" s="40"/>
      <c r="G30" s="40"/>
      <c r="H30" s="42" t="s">
        <v>183</v>
      </c>
      <c r="I30" s="42">
        <v>516.0</v>
      </c>
      <c r="J30" s="42" t="s">
        <v>150</v>
      </c>
      <c r="K30" s="42" t="s">
        <v>20</v>
      </c>
      <c r="L30" s="40"/>
      <c r="M30" s="40"/>
      <c r="N30" s="40"/>
      <c r="O30" s="40"/>
      <c r="P30" s="40"/>
      <c r="Q30" s="40"/>
    </row>
    <row r="31">
      <c r="A31" s="41">
        <v>45777.0</v>
      </c>
      <c r="B31" s="39"/>
      <c r="C31" s="39"/>
      <c r="D31" s="44" t="s">
        <v>184</v>
      </c>
      <c r="E31" s="42" t="s">
        <v>185</v>
      </c>
      <c r="F31" s="42" t="s">
        <v>87</v>
      </c>
      <c r="G31" s="40"/>
      <c r="H31" s="42" t="s">
        <v>186</v>
      </c>
      <c r="I31" s="42" t="s">
        <v>187</v>
      </c>
      <c r="J31" s="42" t="s">
        <v>150</v>
      </c>
      <c r="K31" s="42" t="s">
        <v>20</v>
      </c>
      <c r="L31" s="42" t="s">
        <v>188</v>
      </c>
      <c r="M31" s="42" t="s">
        <v>189</v>
      </c>
      <c r="N31" s="45" t="s">
        <v>190</v>
      </c>
      <c r="O31" s="42" t="s">
        <v>30</v>
      </c>
      <c r="P31" s="42" t="s">
        <v>191</v>
      </c>
      <c r="Q31" s="40"/>
    </row>
    <row r="32">
      <c r="A32" s="41">
        <v>45777.0</v>
      </c>
      <c r="B32" s="39"/>
      <c r="C32" s="39"/>
      <c r="D32" s="39"/>
      <c r="E32" s="42" t="s">
        <v>192</v>
      </c>
      <c r="F32" s="42" t="s">
        <v>45</v>
      </c>
      <c r="G32" s="40"/>
      <c r="H32" s="42" t="s">
        <v>193</v>
      </c>
      <c r="I32" s="42">
        <v>250.0</v>
      </c>
      <c r="J32" s="42" t="s">
        <v>150</v>
      </c>
      <c r="K32" s="42" t="s">
        <v>20</v>
      </c>
      <c r="L32" s="43" t="s">
        <v>194</v>
      </c>
      <c r="M32" s="42" t="s">
        <v>195</v>
      </c>
      <c r="N32" s="42" t="s">
        <v>196</v>
      </c>
      <c r="O32" s="42" t="s">
        <v>85</v>
      </c>
      <c r="P32" s="42" t="s">
        <v>197</v>
      </c>
      <c r="Q32" s="43" t="s">
        <v>198</v>
      </c>
    </row>
    <row r="33">
      <c r="A33" s="46">
        <v>45779.0</v>
      </c>
      <c r="B33" s="47">
        <v>45779.0</v>
      </c>
      <c r="C33" s="48"/>
      <c r="D33" s="47">
        <v>0.10416666666666667</v>
      </c>
      <c r="E33" s="48"/>
      <c r="F33" s="49" t="s">
        <v>199</v>
      </c>
      <c r="G33" s="50"/>
      <c r="H33" s="51"/>
      <c r="I33" s="52" t="s">
        <v>200</v>
      </c>
      <c r="J33" s="52" t="s">
        <v>201</v>
      </c>
      <c r="K33" s="52" t="s">
        <v>202</v>
      </c>
      <c r="L33" s="53" t="s">
        <v>20</v>
      </c>
      <c r="M33" s="52" t="s">
        <v>203</v>
      </c>
      <c r="N33" s="52" t="s">
        <v>204</v>
      </c>
      <c r="O33" s="52">
        <v>7.707149674E9</v>
      </c>
      <c r="P33" s="52" t="s">
        <v>85</v>
      </c>
      <c r="Q33" s="53" t="s">
        <v>205</v>
      </c>
    </row>
    <row r="34">
      <c r="A34" s="54">
        <v>45779.0</v>
      </c>
      <c r="B34" s="55"/>
      <c r="C34" s="56">
        <v>0.3854166666666667</v>
      </c>
      <c r="D34" s="55"/>
      <c r="E34" s="57" t="s">
        <v>206</v>
      </c>
      <c r="F34" s="58"/>
      <c r="G34" s="59"/>
      <c r="H34" s="60" t="s">
        <v>207</v>
      </c>
      <c r="I34" s="60">
        <v>180.0</v>
      </c>
      <c r="J34" s="60" t="s">
        <v>202</v>
      </c>
      <c r="K34" s="60" t="s">
        <v>20</v>
      </c>
      <c r="L34" s="59"/>
      <c r="M34" s="60" t="s">
        <v>208</v>
      </c>
      <c r="N34" s="60" t="s">
        <v>209</v>
      </c>
      <c r="O34" s="60" t="s">
        <v>30</v>
      </c>
      <c r="P34" s="60" t="s">
        <v>210</v>
      </c>
      <c r="Q34" s="59"/>
    </row>
    <row r="35">
      <c r="A35" s="61">
        <v>45781.0</v>
      </c>
      <c r="B35" s="62"/>
      <c r="C35" s="62"/>
      <c r="D35" s="62"/>
      <c r="E35" s="63" t="s">
        <v>211</v>
      </c>
      <c r="F35" s="64" t="s">
        <v>45</v>
      </c>
      <c r="G35" s="65"/>
      <c r="H35" s="64" t="s">
        <v>212</v>
      </c>
      <c r="I35" s="64" t="s">
        <v>213</v>
      </c>
      <c r="J35" s="64" t="s">
        <v>110</v>
      </c>
      <c r="K35" s="64" t="s">
        <v>20</v>
      </c>
      <c r="L35" s="64" t="s">
        <v>214</v>
      </c>
      <c r="M35" s="64" t="s">
        <v>215</v>
      </c>
      <c r="N35" s="64" t="s">
        <v>216</v>
      </c>
      <c r="O35" s="64" t="s">
        <v>30</v>
      </c>
      <c r="P35" s="64" t="s">
        <v>217</v>
      </c>
      <c r="Q35" s="65"/>
    </row>
    <row r="36">
      <c r="A36" s="61">
        <v>45781.0</v>
      </c>
      <c r="B36" s="62"/>
      <c r="C36" s="62"/>
      <c r="D36" s="62"/>
      <c r="E36" s="63" t="s">
        <v>218</v>
      </c>
      <c r="F36" s="64" t="s">
        <v>87</v>
      </c>
      <c r="G36" s="65"/>
      <c r="H36" s="64" t="s">
        <v>219</v>
      </c>
      <c r="I36" s="64" t="s">
        <v>220</v>
      </c>
      <c r="J36" s="64" t="s">
        <v>110</v>
      </c>
      <c r="K36" s="64" t="s">
        <v>221</v>
      </c>
      <c r="L36" s="64" t="s">
        <v>222</v>
      </c>
      <c r="M36" s="64" t="s">
        <v>223</v>
      </c>
      <c r="N36" s="64" t="s">
        <v>224</v>
      </c>
      <c r="O36" s="64" t="s">
        <v>225</v>
      </c>
      <c r="P36" s="64" t="s">
        <v>226</v>
      </c>
      <c r="Q36" s="66" t="s">
        <v>227</v>
      </c>
    </row>
    <row r="37">
      <c r="A37" s="61">
        <v>45781.0</v>
      </c>
      <c r="B37" s="62"/>
      <c r="C37" s="62"/>
      <c r="D37" s="62"/>
      <c r="E37" s="63" t="s">
        <v>228</v>
      </c>
      <c r="F37" s="64" t="s">
        <v>45</v>
      </c>
      <c r="G37" s="65"/>
      <c r="H37" s="64" t="s">
        <v>229</v>
      </c>
      <c r="I37" s="64">
        <v>200.0</v>
      </c>
      <c r="J37" s="64" t="s">
        <v>110</v>
      </c>
      <c r="K37" s="64" t="s">
        <v>81</v>
      </c>
      <c r="L37" s="64" t="s">
        <v>230</v>
      </c>
      <c r="M37" s="64" t="s">
        <v>231</v>
      </c>
      <c r="N37" s="64" t="s">
        <v>232</v>
      </c>
      <c r="O37" s="64" t="s">
        <v>233</v>
      </c>
      <c r="P37" s="64" t="s">
        <v>234</v>
      </c>
      <c r="Q37" s="66" t="s">
        <v>235</v>
      </c>
    </row>
    <row r="38">
      <c r="A38" s="67">
        <v>45786.0</v>
      </c>
      <c r="B38" s="68"/>
      <c r="C38" s="68"/>
      <c r="D38" s="68"/>
      <c r="E38" s="69" t="s">
        <v>236</v>
      </c>
      <c r="F38" s="70" t="s">
        <v>45</v>
      </c>
      <c r="G38" s="71"/>
      <c r="H38" s="70" t="s">
        <v>237</v>
      </c>
      <c r="I38" s="70">
        <v>150.0</v>
      </c>
      <c r="J38" s="70" t="s">
        <v>89</v>
      </c>
      <c r="K38" s="70" t="s">
        <v>20</v>
      </c>
      <c r="L38" s="70" t="s">
        <v>238</v>
      </c>
      <c r="M38" s="70" t="s">
        <v>239</v>
      </c>
      <c r="N38" s="70" t="s">
        <v>240</v>
      </c>
      <c r="O38" s="70" t="s">
        <v>30</v>
      </c>
      <c r="P38" s="70" t="s">
        <v>241</v>
      </c>
      <c r="Q38" s="71"/>
    </row>
    <row r="39">
      <c r="A39" s="67">
        <v>45789.0</v>
      </c>
      <c r="B39" s="68"/>
      <c r="C39" s="68"/>
      <c r="D39" s="68"/>
      <c r="E39" s="69" t="s">
        <v>242</v>
      </c>
      <c r="F39" s="70" t="s">
        <v>243</v>
      </c>
      <c r="G39" s="71"/>
      <c r="H39" s="70" t="s">
        <v>244</v>
      </c>
      <c r="I39" s="70">
        <v>100.0</v>
      </c>
      <c r="J39" s="70" t="s">
        <v>59</v>
      </c>
      <c r="K39" s="70" t="s">
        <v>20</v>
      </c>
      <c r="L39" s="70" t="s">
        <v>245</v>
      </c>
      <c r="M39" s="70" t="s">
        <v>246</v>
      </c>
      <c r="N39" s="70">
        <f>14043535898</f>
        <v>14043535898</v>
      </c>
      <c r="O39" s="70" t="s">
        <v>225</v>
      </c>
      <c r="P39" s="70" t="s">
        <v>247</v>
      </c>
      <c r="Q39" s="72" t="s">
        <v>248</v>
      </c>
    </row>
    <row r="40">
      <c r="A40" s="67">
        <v>45790.0</v>
      </c>
      <c r="B40" s="68"/>
      <c r="C40" s="68"/>
      <c r="D40" s="73">
        <v>0.6458333333333334</v>
      </c>
      <c r="E40" s="69" t="s">
        <v>249</v>
      </c>
      <c r="F40" s="70" t="s">
        <v>45</v>
      </c>
      <c r="G40" s="71"/>
      <c r="H40" s="70" t="s">
        <v>250</v>
      </c>
      <c r="I40" s="70">
        <v>400.0</v>
      </c>
      <c r="J40" s="70" t="s">
        <v>19</v>
      </c>
      <c r="K40" s="70" t="s">
        <v>20</v>
      </c>
      <c r="L40" s="70" t="s">
        <v>251</v>
      </c>
      <c r="M40" s="70" t="s">
        <v>252</v>
      </c>
      <c r="N40" s="74" t="s">
        <v>253</v>
      </c>
      <c r="O40" s="70" t="s">
        <v>24</v>
      </c>
      <c r="P40" s="70" t="s">
        <v>254</v>
      </c>
      <c r="Q40" s="71"/>
    </row>
    <row r="41">
      <c r="A41" s="67">
        <v>45790.0</v>
      </c>
      <c r="B41" s="68"/>
      <c r="C41" s="68"/>
      <c r="D41" s="73">
        <v>0.7083333333333334</v>
      </c>
      <c r="E41" s="69" t="s">
        <v>255</v>
      </c>
      <c r="F41" s="70" t="s">
        <v>45</v>
      </c>
      <c r="G41" s="71"/>
      <c r="H41" s="70" t="s">
        <v>256</v>
      </c>
      <c r="I41" s="70">
        <v>300.0</v>
      </c>
      <c r="J41" s="70" t="s">
        <v>19</v>
      </c>
      <c r="K41" s="70" t="s">
        <v>20</v>
      </c>
      <c r="L41" s="70" t="s">
        <v>257</v>
      </c>
      <c r="M41" s="70" t="s">
        <v>258</v>
      </c>
      <c r="N41" s="74" t="s">
        <v>259</v>
      </c>
      <c r="O41" s="70" t="s">
        <v>30</v>
      </c>
      <c r="P41" s="71"/>
      <c r="Q41" s="71"/>
    </row>
    <row r="42">
      <c r="A42" s="67">
        <v>45790.0</v>
      </c>
      <c r="B42" s="68"/>
      <c r="C42" s="68"/>
      <c r="D42" s="73">
        <v>0.6875</v>
      </c>
      <c r="E42" s="69" t="s">
        <v>260</v>
      </c>
      <c r="F42" s="70" t="s">
        <v>45</v>
      </c>
      <c r="G42" s="71"/>
      <c r="H42" s="70" t="s">
        <v>261</v>
      </c>
      <c r="I42" s="70">
        <v>200.0</v>
      </c>
      <c r="J42" s="70" t="s">
        <v>19</v>
      </c>
      <c r="K42" s="70" t="s">
        <v>20</v>
      </c>
      <c r="L42" s="70" t="s">
        <v>262</v>
      </c>
      <c r="M42" s="70" t="s">
        <v>263</v>
      </c>
      <c r="N42" s="70" t="s">
        <v>264</v>
      </c>
      <c r="O42" s="70" t="s">
        <v>24</v>
      </c>
      <c r="P42" s="70" t="s">
        <v>265</v>
      </c>
      <c r="Q42" s="72" t="s">
        <v>266</v>
      </c>
    </row>
    <row r="43">
      <c r="A43" s="67">
        <v>45791.0</v>
      </c>
      <c r="B43" s="73">
        <v>0.4375</v>
      </c>
      <c r="C43" s="73">
        <v>0.4791666666666667</v>
      </c>
      <c r="D43" s="68"/>
      <c r="E43" s="69" t="s">
        <v>267</v>
      </c>
      <c r="F43" s="70" t="s">
        <v>45</v>
      </c>
      <c r="G43" s="71"/>
      <c r="H43" s="70" t="s">
        <v>268</v>
      </c>
      <c r="I43" s="70">
        <v>250.0</v>
      </c>
      <c r="J43" s="70" t="s">
        <v>150</v>
      </c>
      <c r="K43" s="70" t="s">
        <v>20</v>
      </c>
      <c r="L43" s="70" t="s">
        <v>269</v>
      </c>
      <c r="M43" s="70" t="s">
        <v>270</v>
      </c>
      <c r="N43" s="70" t="s">
        <v>271</v>
      </c>
      <c r="O43" s="70" t="s">
        <v>272</v>
      </c>
      <c r="P43" s="70" t="s">
        <v>273</v>
      </c>
      <c r="Q43" s="71"/>
    </row>
    <row r="44">
      <c r="A44" s="67">
        <v>45791.0</v>
      </c>
      <c r="B44" s="68"/>
      <c r="C44" s="68"/>
      <c r="D44" s="68"/>
      <c r="E44" s="69" t="s">
        <v>274</v>
      </c>
      <c r="F44" s="70" t="s">
        <v>275</v>
      </c>
      <c r="G44" s="71"/>
      <c r="H44" s="70" t="s">
        <v>276</v>
      </c>
      <c r="I44" s="70">
        <v>200.0</v>
      </c>
      <c r="J44" s="70" t="s">
        <v>150</v>
      </c>
      <c r="K44" s="70" t="s">
        <v>20</v>
      </c>
      <c r="L44" s="70" t="s">
        <v>277</v>
      </c>
      <c r="M44" s="70" t="s">
        <v>278</v>
      </c>
      <c r="N44" s="70" t="s">
        <v>279</v>
      </c>
      <c r="O44" s="70" t="s">
        <v>24</v>
      </c>
      <c r="P44" s="70" t="s">
        <v>280</v>
      </c>
      <c r="Q44" s="71"/>
    </row>
    <row r="45">
      <c r="A45" s="75">
        <v>45792.0</v>
      </c>
      <c r="B45" s="76">
        <v>0.5416666666666666</v>
      </c>
      <c r="C45" s="76">
        <v>0.6666666666666666</v>
      </c>
      <c r="D45" s="77"/>
      <c r="E45" s="78" t="s">
        <v>281</v>
      </c>
      <c r="F45" s="79" t="s">
        <v>45</v>
      </c>
      <c r="G45" s="80"/>
      <c r="H45" s="79" t="s">
        <v>282</v>
      </c>
      <c r="I45" s="79">
        <v>500.0</v>
      </c>
      <c r="J45" s="79" t="s">
        <v>80</v>
      </c>
      <c r="K45" s="79" t="s">
        <v>20</v>
      </c>
      <c r="L45" s="79" t="s">
        <v>283</v>
      </c>
      <c r="M45" s="79" t="s">
        <v>284</v>
      </c>
      <c r="N45" s="79" t="s">
        <v>285</v>
      </c>
      <c r="O45" s="79" t="s">
        <v>30</v>
      </c>
      <c r="P45" s="79" t="s">
        <v>286</v>
      </c>
      <c r="Q45" s="81" t="s">
        <v>287</v>
      </c>
    </row>
    <row r="46">
      <c r="A46" s="75">
        <v>45792.0</v>
      </c>
      <c r="B46" s="77"/>
      <c r="C46" s="77"/>
      <c r="D46" s="77"/>
      <c r="E46" s="78" t="s">
        <v>288</v>
      </c>
      <c r="F46" s="80"/>
      <c r="G46" s="79" t="s">
        <v>45</v>
      </c>
      <c r="H46" s="79" t="s">
        <v>289</v>
      </c>
      <c r="I46" s="79">
        <v>200.0</v>
      </c>
      <c r="J46" s="79" t="s">
        <v>80</v>
      </c>
      <c r="K46" s="79" t="s">
        <v>20</v>
      </c>
      <c r="L46" s="79" t="s">
        <v>290</v>
      </c>
      <c r="M46" s="79" t="s">
        <v>291</v>
      </c>
      <c r="N46" s="79" t="s">
        <v>292</v>
      </c>
      <c r="O46" s="79" t="s">
        <v>24</v>
      </c>
      <c r="P46" s="80"/>
      <c r="Q46" s="80"/>
    </row>
    <row r="47">
      <c r="A47" s="75">
        <v>45792.0</v>
      </c>
      <c r="B47" s="77"/>
      <c r="C47" s="77"/>
      <c r="D47" s="76">
        <v>0.6041666666666666</v>
      </c>
      <c r="E47" s="78" t="s">
        <v>293</v>
      </c>
      <c r="F47" s="79" t="s">
        <v>45</v>
      </c>
      <c r="G47" s="80"/>
      <c r="H47" s="79" t="s">
        <v>294</v>
      </c>
      <c r="I47" s="79">
        <v>260.0</v>
      </c>
      <c r="J47" s="79" t="s">
        <v>80</v>
      </c>
      <c r="K47" s="79" t="s">
        <v>20</v>
      </c>
      <c r="L47" s="79" t="s">
        <v>295</v>
      </c>
      <c r="M47" s="79" t="s">
        <v>296</v>
      </c>
      <c r="N47" s="79" t="s">
        <v>297</v>
      </c>
      <c r="O47" s="79" t="s">
        <v>30</v>
      </c>
      <c r="P47" s="79" t="s">
        <v>298</v>
      </c>
      <c r="Q47" s="80"/>
    </row>
    <row r="48">
      <c r="A48" s="75">
        <v>45793.0</v>
      </c>
      <c r="B48" s="76">
        <v>0.5833333333333334</v>
      </c>
      <c r="C48" s="76">
        <v>0.6666666666666666</v>
      </c>
      <c r="D48" s="77"/>
      <c r="E48" s="78" t="s">
        <v>299</v>
      </c>
      <c r="F48" s="79" t="s">
        <v>87</v>
      </c>
      <c r="G48" s="80"/>
      <c r="H48" s="79" t="s">
        <v>300</v>
      </c>
      <c r="I48" s="79">
        <v>1000.0</v>
      </c>
      <c r="J48" s="79" t="s">
        <v>89</v>
      </c>
      <c r="K48" s="79" t="s">
        <v>20</v>
      </c>
      <c r="L48" s="79" t="s">
        <v>301</v>
      </c>
      <c r="M48" s="79" t="s">
        <v>302</v>
      </c>
      <c r="N48" s="79" t="s">
        <v>303</v>
      </c>
      <c r="O48" s="79" t="s">
        <v>24</v>
      </c>
      <c r="P48" s="79" t="s">
        <v>304</v>
      </c>
      <c r="Q48" s="81" t="s">
        <v>305</v>
      </c>
    </row>
    <row r="49">
      <c r="A49" s="75">
        <v>45794.0</v>
      </c>
      <c r="B49" s="76">
        <v>0.5</v>
      </c>
      <c r="C49" s="76">
        <v>0.5833333333333334</v>
      </c>
      <c r="D49" s="77"/>
      <c r="E49" s="79" t="s">
        <v>306</v>
      </c>
      <c r="F49" s="79" t="s">
        <v>87</v>
      </c>
      <c r="G49" s="80"/>
      <c r="H49" s="79" t="s">
        <v>307</v>
      </c>
      <c r="I49" s="79">
        <v>300.0</v>
      </c>
      <c r="J49" s="79" t="s">
        <v>47</v>
      </c>
      <c r="K49" s="79" t="s">
        <v>20</v>
      </c>
      <c r="L49" s="79" t="s">
        <v>308</v>
      </c>
      <c r="M49" s="79" t="s">
        <v>309</v>
      </c>
      <c r="N49" s="79" t="s">
        <v>310</v>
      </c>
      <c r="O49" s="79" t="s">
        <v>30</v>
      </c>
      <c r="P49" s="79" t="s">
        <v>311</v>
      </c>
      <c r="Q49" s="80"/>
    </row>
    <row r="50">
      <c r="A50" s="75">
        <v>45795.0</v>
      </c>
      <c r="B50" s="76">
        <v>0.5416666666666666</v>
      </c>
      <c r="C50" s="76">
        <v>0.6666666666666666</v>
      </c>
      <c r="D50" s="77"/>
      <c r="E50" s="79" t="s">
        <v>312</v>
      </c>
      <c r="F50" s="79" t="s">
        <v>87</v>
      </c>
      <c r="G50" s="80"/>
      <c r="H50" s="79" t="s">
        <v>313</v>
      </c>
      <c r="I50" s="79">
        <v>700.0</v>
      </c>
      <c r="J50" s="79" t="s">
        <v>110</v>
      </c>
      <c r="K50" s="79" t="s">
        <v>20</v>
      </c>
      <c r="L50" s="79" t="s">
        <v>314</v>
      </c>
      <c r="M50" s="79" t="s">
        <v>315</v>
      </c>
      <c r="N50" s="79" t="s">
        <v>316</v>
      </c>
      <c r="O50" s="79" t="s">
        <v>317</v>
      </c>
      <c r="P50" s="79" t="s">
        <v>318</v>
      </c>
      <c r="Q50" s="81" t="s">
        <v>319</v>
      </c>
    </row>
    <row r="51">
      <c r="A51" s="75">
        <v>45795.0</v>
      </c>
      <c r="B51" s="76">
        <v>0.7083333333333334</v>
      </c>
      <c r="C51" s="76">
        <v>0.7916666666666666</v>
      </c>
      <c r="D51" s="77"/>
      <c r="E51" s="79" t="s">
        <v>320</v>
      </c>
      <c r="F51" s="79" t="s">
        <v>45</v>
      </c>
      <c r="G51" s="80"/>
      <c r="H51" s="79" t="s">
        <v>321</v>
      </c>
      <c r="I51" s="79">
        <v>1000.0</v>
      </c>
      <c r="J51" s="79" t="s">
        <v>110</v>
      </c>
      <c r="K51" s="79" t="s">
        <v>81</v>
      </c>
      <c r="L51" s="79" t="s">
        <v>322</v>
      </c>
      <c r="M51" s="79" t="s">
        <v>323</v>
      </c>
      <c r="N51" s="79" t="s">
        <v>324</v>
      </c>
      <c r="O51" s="79" t="s">
        <v>85</v>
      </c>
      <c r="P51" s="79" t="s">
        <v>325</v>
      </c>
      <c r="Q51" s="80"/>
    </row>
    <row r="52">
      <c r="A52" s="75">
        <v>45797.0</v>
      </c>
      <c r="B52" s="76" t="s">
        <v>326</v>
      </c>
      <c r="C52" s="76">
        <v>3.0</v>
      </c>
      <c r="D52" s="77"/>
      <c r="E52" s="78" t="s">
        <v>327</v>
      </c>
      <c r="F52" s="79" t="s">
        <v>45</v>
      </c>
      <c r="G52" s="82"/>
      <c r="H52" s="78" t="s">
        <v>328</v>
      </c>
      <c r="I52" s="79">
        <v>300.0</v>
      </c>
      <c r="J52" s="79" t="s">
        <v>19</v>
      </c>
      <c r="K52" s="79" t="s">
        <v>20</v>
      </c>
      <c r="L52" s="79" t="s">
        <v>329</v>
      </c>
      <c r="M52" s="79" t="s">
        <v>330</v>
      </c>
      <c r="N52" s="79" t="s">
        <v>331</v>
      </c>
      <c r="O52" s="79" t="s">
        <v>24</v>
      </c>
      <c r="P52" s="79" t="s">
        <v>332</v>
      </c>
      <c r="Q52" s="81" t="s">
        <v>333</v>
      </c>
    </row>
    <row r="53">
      <c r="A53" s="75">
        <v>45798.0</v>
      </c>
      <c r="B53" s="77"/>
      <c r="C53" s="77"/>
      <c r="D53" s="76">
        <v>0.5833333333333334</v>
      </c>
      <c r="E53" s="78" t="s">
        <v>334</v>
      </c>
      <c r="F53" s="79" t="s">
        <v>87</v>
      </c>
      <c r="G53" s="80"/>
      <c r="H53" s="79" t="s">
        <v>335</v>
      </c>
      <c r="I53" s="79">
        <v>200.0</v>
      </c>
      <c r="J53" s="79" t="s">
        <v>150</v>
      </c>
      <c r="K53" s="79" t="s">
        <v>20</v>
      </c>
      <c r="L53" s="79" t="s">
        <v>336</v>
      </c>
      <c r="M53" s="79" t="s">
        <v>337</v>
      </c>
      <c r="N53" s="79" t="s">
        <v>338</v>
      </c>
      <c r="O53" s="79" t="s">
        <v>24</v>
      </c>
      <c r="P53" s="79" t="s">
        <v>339</v>
      </c>
      <c r="Q53" s="80"/>
    </row>
    <row r="54">
      <c r="A54" s="75">
        <v>45798.0</v>
      </c>
      <c r="B54" s="77"/>
      <c r="C54" s="77"/>
      <c r="D54" s="77"/>
      <c r="E54" s="78" t="s">
        <v>340</v>
      </c>
      <c r="F54" s="79" t="s">
        <v>45</v>
      </c>
      <c r="G54" s="80"/>
      <c r="H54" s="79" t="s">
        <v>341</v>
      </c>
      <c r="I54" s="79">
        <v>150.0</v>
      </c>
      <c r="J54" s="79" t="s">
        <v>150</v>
      </c>
      <c r="K54" s="79" t="s">
        <v>20</v>
      </c>
      <c r="L54" s="79" t="s">
        <v>342</v>
      </c>
      <c r="M54" s="79" t="s">
        <v>343</v>
      </c>
      <c r="N54" s="79" t="s">
        <v>344</v>
      </c>
      <c r="O54" s="79" t="s">
        <v>24</v>
      </c>
      <c r="P54" s="80"/>
      <c r="Q54" s="80"/>
    </row>
    <row r="55">
      <c r="A55" s="83">
        <v>45804.0</v>
      </c>
      <c r="B55" s="84"/>
      <c r="C55" s="84"/>
      <c r="D55" s="85">
        <v>0.8541666666666666</v>
      </c>
      <c r="E55" s="86" t="s">
        <v>345</v>
      </c>
      <c r="F55" s="87" t="s">
        <v>45</v>
      </c>
      <c r="G55" s="88"/>
      <c r="H55" s="87" t="s">
        <v>346</v>
      </c>
      <c r="I55" s="87">
        <v>100.0</v>
      </c>
      <c r="J55" s="87" t="s">
        <v>19</v>
      </c>
      <c r="K55" s="87" t="s">
        <v>20</v>
      </c>
      <c r="L55" s="87" t="s">
        <v>347</v>
      </c>
      <c r="M55" s="87" t="s">
        <v>348</v>
      </c>
      <c r="N55" s="87">
        <v>1.4045936497E10</v>
      </c>
      <c r="O55" s="87" t="s">
        <v>349</v>
      </c>
      <c r="P55" s="87" t="s">
        <v>350</v>
      </c>
      <c r="Q55" s="89" t="s">
        <v>351</v>
      </c>
    </row>
    <row r="56">
      <c r="A56" s="83">
        <v>45808.0</v>
      </c>
      <c r="B56" s="85">
        <v>0.4583333333333333</v>
      </c>
      <c r="C56" s="84"/>
      <c r="D56" s="85">
        <v>2.0</v>
      </c>
      <c r="E56" s="86" t="s">
        <v>352</v>
      </c>
      <c r="F56" s="87" t="s">
        <v>353</v>
      </c>
      <c r="G56" s="88"/>
      <c r="H56" s="87" t="s">
        <v>354</v>
      </c>
      <c r="I56" s="87" t="s">
        <v>355</v>
      </c>
      <c r="J56" s="87" t="s">
        <v>47</v>
      </c>
      <c r="K56" s="87" t="s">
        <v>81</v>
      </c>
      <c r="L56" s="87" t="s">
        <v>356</v>
      </c>
      <c r="M56" s="87" t="s">
        <v>357</v>
      </c>
      <c r="N56" s="87">
        <v>1.8139004691E10</v>
      </c>
      <c r="O56" s="87" t="s">
        <v>358</v>
      </c>
      <c r="P56" s="87" t="s">
        <v>359</v>
      </c>
      <c r="Q56" s="89" t="s">
        <v>360</v>
      </c>
    </row>
    <row r="57">
      <c r="A57" s="83">
        <v>45812.0</v>
      </c>
      <c r="B57" s="84"/>
      <c r="C57" s="84"/>
      <c r="D57" s="85">
        <v>0.6458333333333334</v>
      </c>
      <c r="E57" s="86" t="s">
        <v>361</v>
      </c>
      <c r="F57" s="87" t="s">
        <v>87</v>
      </c>
      <c r="G57" s="88"/>
      <c r="H57" s="87" t="s">
        <v>362</v>
      </c>
      <c r="I57" s="87">
        <v>200.0</v>
      </c>
      <c r="J57" s="87" t="s">
        <v>150</v>
      </c>
      <c r="K57" s="87" t="s">
        <v>221</v>
      </c>
      <c r="L57" s="89" t="s">
        <v>363</v>
      </c>
      <c r="M57" s="87" t="s">
        <v>364</v>
      </c>
      <c r="N57" s="87">
        <v>1.4109618224E10</v>
      </c>
      <c r="O57" s="87" t="s">
        <v>85</v>
      </c>
      <c r="P57" s="87" t="s">
        <v>365</v>
      </c>
      <c r="Q57" s="89" t="s">
        <v>366</v>
      </c>
    </row>
    <row r="58">
      <c r="A58" s="90">
        <v>45816.0</v>
      </c>
      <c r="B58" s="91"/>
      <c r="C58" s="91"/>
      <c r="D58" s="91"/>
      <c r="E58" s="92" t="s">
        <v>367</v>
      </c>
      <c r="F58" s="93" t="s">
        <v>368</v>
      </c>
      <c r="G58" s="94"/>
      <c r="H58" s="93" t="s">
        <v>369</v>
      </c>
      <c r="I58" s="93">
        <v>400.0</v>
      </c>
      <c r="J58" s="93" t="s">
        <v>110</v>
      </c>
      <c r="K58" s="93" t="s">
        <v>81</v>
      </c>
      <c r="L58" s="93" t="s">
        <v>370</v>
      </c>
      <c r="M58" s="93" t="s">
        <v>371</v>
      </c>
      <c r="N58" s="94"/>
      <c r="O58" s="94"/>
      <c r="P58" s="94"/>
      <c r="Q58" s="94"/>
    </row>
    <row r="59">
      <c r="A59" s="90">
        <v>45817.0</v>
      </c>
      <c r="B59" s="95">
        <v>0.4375</v>
      </c>
      <c r="C59" s="95">
        <v>0.5208333333333334</v>
      </c>
      <c r="D59" s="95">
        <v>0.5208333333333334</v>
      </c>
      <c r="E59" s="92" t="s">
        <v>372</v>
      </c>
      <c r="F59" s="93" t="s">
        <v>45</v>
      </c>
      <c r="G59" s="94"/>
      <c r="H59" s="93" t="s">
        <v>373</v>
      </c>
      <c r="I59" s="93">
        <v>200.0</v>
      </c>
      <c r="J59" s="93" t="s">
        <v>59</v>
      </c>
      <c r="K59" s="93" t="s">
        <v>81</v>
      </c>
      <c r="L59" s="96" t="s">
        <v>374</v>
      </c>
      <c r="M59" s="93" t="s">
        <v>375</v>
      </c>
      <c r="N59" s="93">
        <v>6.783581413E9</v>
      </c>
      <c r="O59" s="93" t="s">
        <v>376</v>
      </c>
      <c r="P59" s="93" t="s">
        <v>377</v>
      </c>
      <c r="Q59" s="97" t="s">
        <v>378</v>
      </c>
    </row>
    <row r="60">
      <c r="A60" s="90">
        <v>45818.0</v>
      </c>
      <c r="B60" s="91"/>
      <c r="C60" s="91"/>
      <c r="D60" s="95">
        <v>0.6770833333333334</v>
      </c>
      <c r="E60" s="92" t="s">
        <v>379</v>
      </c>
      <c r="F60" s="93" t="s">
        <v>45</v>
      </c>
      <c r="G60" s="94"/>
      <c r="H60" s="93" t="s">
        <v>380</v>
      </c>
      <c r="I60" s="93">
        <v>490.0</v>
      </c>
      <c r="J60" s="93" t="s">
        <v>19</v>
      </c>
      <c r="K60" s="93" t="s">
        <v>20</v>
      </c>
      <c r="L60" s="97" t="s">
        <v>381</v>
      </c>
      <c r="M60" s="93" t="s">
        <v>382</v>
      </c>
      <c r="N60" s="93" t="s">
        <v>383</v>
      </c>
      <c r="O60" s="93" t="s">
        <v>42</v>
      </c>
      <c r="P60" s="93" t="s">
        <v>384</v>
      </c>
      <c r="Q60" s="94"/>
    </row>
    <row r="61">
      <c r="A61" s="90">
        <v>45818.0</v>
      </c>
      <c r="B61" s="91"/>
      <c r="C61" s="91"/>
      <c r="D61" s="91"/>
      <c r="E61" s="92" t="s">
        <v>385</v>
      </c>
      <c r="F61" s="93" t="s">
        <v>45</v>
      </c>
      <c r="G61" s="94"/>
      <c r="H61" s="93" t="s">
        <v>386</v>
      </c>
      <c r="I61" s="93">
        <v>312.0</v>
      </c>
      <c r="J61" s="93" t="s">
        <v>19</v>
      </c>
      <c r="K61" s="98" t="s">
        <v>20</v>
      </c>
      <c r="L61" s="93" t="s">
        <v>387</v>
      </c>
      <c r="M61" s="93" t="s">
        <v>388</v>
      </c>
      <c r="N61" s="93" t="s">
        <v>389</v>
      </c>
      <c r="O61" s="94"/>
      <c r="P61" s="94"/>
      <c r="Q61" s="94"/>
    </row>
    <row r="62">
      <c r="A62" s="90">
        <v>45818.0</v>
      </c>
      <c r="B62" s="95">
        <v>0.65625</v>
      </c>
      <c r="C62" s="95">
        <v>0.7395833333333334</v>
      </c>
      <c r="D62" s="95">
        <v>0.7291666666666666</v>
      </c>
      <c r="E62" s="92" t="s">
        <v>390</v>
      </c>
      <c r="F62" s="93" t="s">
        <v>45</v>
      </c>
      <c r="G62" s="94"/>
      <c r="H62" s="93" t="s">
        <v>391</v>
      </c>
      <c r="I62" s="93">
        <v>2000.0</v>
      </c>
      <c r="J62" s="93" t="s">
        <v>19</v>
      </c>
      <c r="K62" s="94"/>
      <c r="L62" s="93" t="s">
        <v>392</v>
      </c>
      <c r="M62" s="93" t="s">
        <v>393</v>
      </c>
      <c r="N62" s="93" t="s">
        <v>394</v>
      </c>
      <c r="O62" s="93" t="s">
        <v>395</v>
      </c>
      <c r="P62" s="93" t="s">
        <v>396</v>
      </c>
      <c r="Q62" s="94"/>
    </row>
    <row r="63">
      <c r="A63" s="90">
        <v>45818.0</v>
      </c>
      <c r="B63" s="91"/>
      <c r="C63" s="91"/>
      <c r="D63" s="91"/>
      <c r="E63" s="92" t="s">
        <v>397</v>
      </c>
      <c r="F63" s="93" t="s">
        <v>87</v>
      </c>
      <c r="G63" s="94"/>
      <c r="H63" s="93" t="s">
        <v>39</v>
      </c>
      <c r="I63" s="93">
        <v>156.0</v>
      </c>
      <c r="J63" s="93" t="s">
        <v>19</v>
      </c>
      <c r="K63" s="93" t="s">
        <v>20</v>
      </c>
      <c r="L63" s="94"/>
      <c r="M63" s="93" t="s">
        <v>398</v>
      </c>
      <c r="N63" s="93" t="s">
        <v>41</v>
      </c>
      <c r="O63" s="93" t="s">
        <v>42</v>
      </c>
      <c r="P63" s="94"/>
      <c r="Q63" s="94"/>
    </row>
    <row r="64">
      <c r="A64" s="90">
        <v>45819.0</v>
      </c>
      <c r="B64" s="95">
        <v>0.5416666666666666</v>
      </c>
      <c r="C64" s="95">
        <v>0.6666666666666666</v>
      </c>
      <c r="D64" s="91"/>
      <c r="E64" s="92" t="s">
        <v>399</v>
      </c>
      <c r="F64" s="93" t="s">
        <v>45</v>
      </c>
      <c r="G64" s="94"/>
      <c r="H64" s="93" t="s">
        <v>400</v>
      </c>
      <c r="I64" s="93">
        <v>700.0</v>
      </c>
      <c r="J64" s="93" t="s">
        <v>150</v>
      </c>
      <c r="K64" s="93" t="s">
        <v>20</v>
      </c>
      <c r="L64" s="97" t="s">
        <v>401</v>
      </c>
      <c r="M64" s="93" t="s">
        <v>402</v>
      </c>
      <c r="N64" s="93" t="s">
        <v>403</v>
      </c>
      <c r="O64" s="93" t="s">
        <v>30</v>
      </c>
      <c r="P64" s="93" t="s">
        <v>404</v>
      </c>
      <c r="Q64" s="94"/>
    </row>
    <row r="65">
      <c r="A65" s="99">
        <v>45820.0</v>
      </c>
      <c r="B65" s="100">
        <v>0.375</v>
      </c>
      <c r="C65" s="100">
        <v>0.5</v>
      </c>
      <c r="D65" s="100">
        <v>0.5833333333333334</v>
      </c>
      <c r="E65" s="101" t="s">
        <v>405</v>
      </c>
      <c r="F65" s="102" t="s">
        <v>45</v>
      </c>
      <c r="G65" s="103"/>
      <c r="H65" s="102" t="s">
        <v>406</v>
      </c>
      <c r="I65" s="102">
        <v>1000.0</v>
      </c>
      <c r="J65" s="102" t="s">
        <v>80</v>
      </c>
      <c r="K65" s="102" t="s">
        <v>81</v>
      </c>
      <c r="L65" s="102" t="s">
        <v>407</v>
      </c>
      <c r="M65" s="102" t="s">
        <v>408</v>
      </c>
      <c r="N65" s="102">
        <v>4.045999314E9</v>
      </c>
      <c r="O65" s="102" t="s">
        <v>349</v>
      </c>
      <c r="P65" s="102" t="s">
        <v>409</v>
      </c>
      <c r="Q65" s="104" t="s">
        <v>410</v>
      </c>
    </row>
    <row r="66">
      <c r="A66" s="99">
        <v>45825.0</v>
      </c>
      <c r="B66" s="105"/>
      <c r="C66" s="105"/>
      <c r="D66" s="100">
        <v>0.625</v>
      </c>
      <c r="E66" s="101" t="s">
        <v>411</v>
      </c>
      <c r="F66" s="106" t="s">
        <v>45</v>
      </c>
      <c r="G66" s="103"/>
      <c r="H66" s="102" t="s">
        <v>412</v>
      </c>
      <c r="I66" s="102">
        <v>200.0</v>
      </c>
      <c r="J66" s="102" t="s">
        <v>19</v>
      </c>
      <c r="K66" s="102" t="s">
        <v>20</v>
      </c>
      <c r="L66" s="102" t="s">
        <v>413</v>
      </c>
      <c r="M66" s="102" t="s">
        <v>414</v>
      </c>
      <c r="N66" s="102" t="s">
        <v>415</v>
      </c>
      <c r="O66" s="102" t="s">
        <v>30</v>
      </c>
      <c r="P66" s="102" t="s">
        <v>416</v>
      </c>
      <c r="Q66" s="103"/>
    </row>
    <row r="67">
      <c r="A67" s="99">
        <v>45825.0</v>
      </c>
      <c r="B67" s="100">
        <v>0.75</v>
      </c>
      <c r="C67" s="100">
        <v>0.8125</v>
      </c>
      <c r="D67" s="100">
        <v>0.8125</v>
      </c>
      <c r="E67" s="101" t="s">
        <v>417</v>
      </c>
      <c r="F67" s="106" t="s">
        <v>87</v>
      </c>
      <c r="G67" s="103"/>
      <c r="H67" s="102" t="s">
        <v>418</v>
      </c>
      <c r="I67" s="102">
        <v>200.0</v>
      </c>
      <c r="J67" s="102" t="s">
        <v>19</v>
      </c>
      <c r="K67" s="102" t="s">
        <v>20</v>
      </c>
      <c r="L67" s="102" t="s">
        <v>419</v>
      </c>
      <c r="M67" s="102" t="s">
        <v>420</v>
      </c>
      <c r="N67" s="102">
        <v>1.7196404149E10</v>
      </c>
      <c r="O67" s="102" t="s">
        <v>421</v>
      </c>
      <c r="P67" s="106" t="s">
        <v>422</v>
      </c>
      <c r="Q67" s="104" t="s">
        <v>423</v>
      </c>
    </row>
    <row r="68">
      <c r="A68" s="99">
        <v>45826.0</v>
      </c>
      <c r="B68" s="105"/>
      <c r="C68" s="105"/>
      <c r="D68" s="105"/>
      <c r="E68" s="101" t="s">
        <v>424</v>
      </c>
      <c r="F68" s="106" t="s">
        <v>45</v>
      </c>
      <c r="G68" s="103"/>
      <c r="H68" s="102" t="s">
        <v>425</v>
      </c>
      <c r="I68" s="102">
        <v>200.0</v>
      </c>
      <c r="J68" s="102" t="s">
        <v>150</v>
      </c>
      <c r="K68" s="102" t="s">
        <v>20</v>
      </c>
      <c r="L68" s="102" t="s">
        <v>426</v>
      </c>
      <c r="M68" s="102" t="s">
        <v>427</v>
      </c>
      <c r="N68" s="102" t="s">
        <v>428</v>
      </c>
      <c r="O68" s="102" t="s">
        <v>76</v>
      </c>
      <c r="P68" s="103"/>
      <c r="Q68" s="103"/>
    </row>
    <row r="69">
      <c r="A69" s="99">
        <v>45826.0</v>
      </c>
      <c r="B69" s="105"/>
      <c r="C69" s="105"/>
      <c r="D69" s="105"/>
      <c r="E69" s="101" t="s">
        <v>429</v>
      </c>
      <c r="F69" s="106" t="s">
        <v>87</v>
      </c>
      <c r="G69" s="103"/>
      <c r="H69" s="102" t="s">
        <v>430</v>
      </c>
      <c r="I69" s="102">
        <v>1000.0</v>
      </c>
      <c r="J69" s="102" t="s">
        <v>150</v>
      </c>
      <c r="K69" s="102" t="s">
        <v>20</v>
      </c>
      <c r="L69" s="103"/>
      <c r="M69" s="102" t="s">
        <v>431</v>
      </c>
      <c r="N69" s="102" t="s">
        <v>432</v>
      </c>
      <c r="O69" s="103"/>
      <c r="P69" s="103"/>
      <c r="Q69" s="103"/>
    </row>
    <row r="70">
      <c r="A70" s="99">
        <v>45826.0</v>
      </c>
      <c r="B70" s="105"/>
      <c r="C70" s="105"/>
      <c r="D70" s="100">
        <v>0.5</v>
      </c>
      <c r="E70" s="101" t="s">
        <v>433</v>
      </c>
      <c r="F70" s="106" t="s">
        <v>45</v>
      </c>
      <c r="G70" s="103"/>
      <c r="H70" s="102" t="s">
        <v>434</v>
      </c>
      <c r="I70" s="102">
        <v>350.0</v>
      </c>
      <c r="J70" s="102" t="s">
        <v>150</v>
      </c>
      <c r="K70" s="103"/>
      <c r="L70" s="102" t="s">
        <v>435</v>
      </c>
      <c r="M70" s="102" t="s">
        <v>436</v>
      </c>
      <c r="N70" s="102" t="s">
        <v>437</v>
      </c>
      <c r="O70" s="102" t="s">
        <v>30</v>
      </c>
      <c r="P70" s="107" t="s">
        <v>438</v>
      </c>
      <c r="Q70" s="103"/>
    </row>
    <row r="71">
      <c r="A71" s="108">
        <v>45830.0</v>
      </c>
      <c r="B71" s="109"/>
      <c r="C71" s="109"/>
      <c r="D71" s="109"/>
      <c r="E71" s="110" t="s">
        <v>439</v>
      </c>
      <c r="F71" s="111" t="s">
        <v>45</v>
      </c>
      <c r="G71" s="112"/>
      <c r="H71" s="113" t="s">
        <v>440</v>
      </c>
      <c r="I71" s="113">
        <v>200.0</v>
      </c>
      <c r="J71" s="113" t="s">
        <v>110</v>
      </c>
      <c r="K71" s="113" t="s">
        <v>20</v>
      </c>
      <c r="L71" s="111" t="s">
        <v>441</v>
      </c>
      <c r="M71" s="113" t="s">
        <v>442</v>
      </c>
      <c r="N71" s="111" t="s">
        <v>443</v>
      </c>
      <c r="O71" s="113" t="s">
        <v>30</v>
      </c>
      <c r="P71" s="114" t="s">
        <v>444</v>
      </c>
      <c r="Q71" s="112"/>
    </row>
    <row r="72">
      <c r="A72" s="108">
        <v>45832.0</v>
      </c>
      <c r="B72" s="109"/>
      <c r="C72" s="109"/>
      <c r="D72" s="115">
        <v>0.7708333333333334</v>
      </c>
      <c r="E72" s="110" t="s">
        <v>445</v>
      </c>
      <c r="F72" s="111" t="s">
        <v>87</v>
      </c>
      <c r="G72" s="112"/>
      <c r="H72" s="113" t="s">
        <v>446</v>
      </c>
      <c r="I72" s="113">
        <v>300.0</v>
      </c>
      <c r="J72" s="113" t="s">
        <v>19</v>
      </c>
      <c r="K72" s="113" t="s">
        <v>20</v>
      </c>
      <c r="L72" s="111" t="s">
        <v>447</v>
      </c>
      <c r="M72" s="113" t="s">
        <v>448</v>
      </c>
      <c r="N72" s="111" t="s">
        <v>449</v>
      </c>
      <c r="O72" s="113" t="s">
        <v>30</v>
      </c>
      <c r="P72" s="113" t="s">
        <v>450</v>
      </c>
      <c r="Q72" s="112"/>
    </row>
    <row r="73">
      <c r="A73" s="108">
        <v>45832.0</v>
      </c>
      <c r="B73" s="115">
        <v>0.5625</v>
      </c>
      <c r="C73" s="115">
        <v>0.625</v>
      </c>
      <c r="D73" s="116">
        <v>0.625</v>
      </c>
      <c r="E73" s="110" t="s">
        <v>451</v>
      </c>
      <c r="F73" s="111" t="s">
        <v>45</v>
      </c>
      <c r="G73" s="112"/>
      <c r="H73" s="113" t="s">
        <v>452</v>
      </c>
      <c r="I73" s="113">
        <v>1000.0</v>
      </c>
      <c r="J73" s="113" t="s">
        <v>19</v>
      </c>
      <c r="K73" s="113" t="s">
        <v>20</v>
      </c>
      <c r="L73" s="113" t="s">
        <v>453</v>
      </c>
      <c r="M73" s="113" t="s">
        <v>454</v>
      </c>
      <c r="N73" s="113" t="s">
        <v>455</v>
      </c>
      <c r="O73" s="113" t="s">
        <v>349</v>
      </c>
      <c r="P73" s="117" t="s">
        <v>456</v>
      </c>
      <c r="Q73" s="112"/>
    </row>
    <row r="74">
      <c r="A74" s="108">
        <v>45833.0</v>
      </c>
      <c r="B74" s="109"/>
      <c r="C74" s="109"/>
      <c r="D74" s="109"/>
      <c r="E74" s="110" t="s">
        <v>457</v>
      </c>
      <c r="F74" s="111" t="s">
        <v>45</v>
      </c>
      <c r="G74" s="112"/>
      <c r="H74" s="113" t="s">
        <v>458</v>
      </c>
      <c r="I74" s="113">
        <v>160.0</v>
      </c>
      <c r="J74" s="113" t="s">
        <v>150</v>
      </c>
      <c r="K74" s="111" t="s">
        <v>20</v>
      </c>
      <c r="L74" s="112"/>
      <c r="M74" s="113" t="s">
        <v>459</v>
      </c>
      <c r="N74" s="113" t="s">
        <v>460</v>
      </c>
      <c r="O74" s="112"/>
      <c r="P74" s="112"/>
      <c r="Q74" s="112"/>
    </row>
    <row r="75">
      <c r="A75" s="108">
        <v>45833.0</v>
      </c>
      <c r="B75" s="109"/>
      <c r="C75" s="109"/>
      <c r="D75" s="115">
        <v>0.6875</v>
      </c>
      <c r="E75" s="110" t="s">
        <v>461</v>
      </c>
      <c r="F75" s="111" t="s">
        <v>45</v>
      </c>
      <c r="G75" s="112"/>
      <c r="H75" s="113" t="s">
        <v>462</v>
      </c>
      <c r="I75" s="113">
        <v>1600.0</v>
      </c>
      <c r="J75" s="113" t="s">
        <v>150</v>
      </c>
      <c r="K75" s="112"/>
      <c r="L75" s="111" t="s">
        <v>463</v>
      </c>
      <c r="M75" s="113" t="s">
        <v>464</v>
      </c>
      <c r="N75" s="113" t="s">
        <v>465</v>
      </c>
      <c r="O75" s="113" t="s">
        <v>42</v>
      </c>
      <c r="P75" s="112"/>
      <c r="Q75" s="112"/>
    </row>
    <row r="76">
      <c r="A76" s="6">
        <v>45834.0</v>
      </c>
      <c r="B76" s="7"/>
      <c r="C76" s="7"/>
      <c r="D76" s="118">
        <v>4.0</v>
      </c>
      <c r="E76" s="8" t="s">
        <v>466</v>
      </c>
      <c r="F76" s="119" t="s">
        <v>45</v>
      </c>
      <c r="G76" s="9"/>
      <c r="H76" s="10" t="s">
        <v>467</v>
      </c>
      <c r="I76" s="10">
        <f>SUM(I71:I75)</f>
        <v>3260</v>
      </c>
      <c r="J76" s="10" t="s">
        <v>80</v>
      </c>
      <c r="K76" s="10" t="s">
        <v>20</v>
      </c>
      <c r="L76" s="10" t="s">
        <v>468</v>
      </c>
      <c r="M76" s="10" t="s">
        <v>469</v>
      </c>
      <c r="N76" s="10" t="s">
        <v>470</v>
      </c>
      <c r="O76" s="10" t="s">
        <v>421</v>
      </c>
      <c r="P76" s="120" t="s">
        <v>471</v>
      </c>
      <c r="Q76" s="9"/>
    </row>
    <row r="77">
      <c r="A77" s="6">
        <v>45834.0</v>
      </c>
      <c r="B77" s="7"/>
      <c r="C77" s="7"/>
      <c r="D77" s="7"/>
      <c r="E77" s="8" t="s">
        <v>191</v>
      </c>
      <c r="F77" s="119" t="s">
        <v>45</v>
      </c>
      <c r="G77" s="9"/>
      <c r="H77" s="10" t="s">
        <v>472</v>
      </c>
      <c r="I77" s="10" t="s">
        <v>213</v>
      </c>
      <c r="J77" s="10" t="s">
        <v>80</v>
      </c>
      <c r="K77" s="10" t="s">
        <v>20</v>
      </c>
      <c r="L77" s="119" t="s">
        <v>473</v>
      </c>
      <c r="M77" s="10" t="s">
        <v>474</v>
      </c>
      <c r="N77" s="10" t="s">
        <v>475</v>
      </c>
      <c r="O77" s="10" t="s">
        <v>30</v>
      </c>
      <c r="P77" s="119" t="s">
        <v>476</v>
      </c>
      <c r="Q77" s="9"/>
    </row>
    <row r="78">
      <c r="A78" s="6">
        <v>45836.0</v>
      </c>
      <c r="B78" s="7"/>
      <c r="C78" s="7"/>
      <c r="D78" s="7"/>
      <c r="E78" s="8" t="s">
        <v>477</v>
      </c>
      <c r="F78" s="119" t="s">
        <v>87</v>
      </c>
      <c r="G78" s="9"/>
      <c r="H78" s="10" t="s">
        <v>478</v>
      </c>
      <c r="I78" s="10">
        <v>300.0</v>
      </c>
      <c r="J78" s="10" t="s">
        <v>47</v>
      </c>
      <c r="K78" s="10" t="s">
        <v>20</v>
      </c>
      <c r="L78" s="119" t="s">
        <v>479</v>
      </c>
      <c r="M78" s="10" t="s">
        <v>480</v>
      </c>
      <c r="N78" s="119" t="s">
        <v>481</v>
      </c>
      <c r="O78" s="10" t="s">
        <v>30</v>
      </c>
      <c r="P78" s="10" t="s">
        <v>482</v>
      </c>
      <c r="Q78" s="9"/>
    </row>
  </sheetData>
  <hyperlinks>
    <hyperlink r:id="rId1" ref="Q8"/>
    <hyperlink r:id="rId2" ref="Q13"/>
    <hyperlink r:id="rId3" ref="Q25"/>
    <hyperlink r:id="rId4" ref="Q27"/>
    <hyperlink r:id="rId5" ref="L28"/>
    <hyperlink r:id="rId6" ref="L32"/>
    <hyperlink r:id="rId7" ref="Q32"/>
    <hyperlink r:id="rId8" ref="Q36"/>
    <hyperlink r:id="rId9" ref="Q37"/>
    <hyperlink r:id="rId10" ref="Q39"/>
    <hyperlink r:id="rId11" ref="Q42"/>
    <hyperlink r:id="rId12" ref="Q45"/>
    <hyperlink r:id="rId13" ref="Q48"/>
    <hyperlink r:id="rId14" ref="Q50"/>
    <hyperlink r:id="rId15" ref="Q52"/>
    <hyperlink r:id="rId16" ref="Q55"/>
    <hyperlink r:id="rId17" ref="Q56"/>
    <hyperlink r:id="rId18" ref="L57"/>
    <hyperlink r:id="rId19" ref="Q57"/>
    <hyperlink r:id="rId20" ref="L59"/>
    <hyperlink r:id="rId21" ref="Q59"/>
    <hyperlink r:id="rId22" ref="L60"/>
    <hyperlink r:id="rId23" ref="L64"/>
    <hyperlink r:id="rId24" ref="Q65"/>
    <hyperlink r:id="rId25" ref="Q67"/>
    <hyperlink r:id="rId26" ref="P73"/>
  </hyperlinks>
  <drawing r:id="rId27"/>
  <tableParts count="1">
    <tablePart r:id="rId29"/>
  </tableParts>
</worksheet>
</file>